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aac Paley\Desktop\School\College\Organizations\Cooperative Living Organization\"/>
    </mc:Choice>
  </mc:AlternateContent>
  <xr:revisionPtr revIDLastSave="0" documentId="13_ncr:1_{0B1B4072-BFB5-4604-B6EC-55FD368D9EFC}" xr6:coauthVersionLast="45" xr6:coauthVersionMax="45" xr10:uidLastSave="{00000000-0000-0000-0000-000000000000}"/>
  <bookViews>
    <workbookView xWindow="-108" yWindow="-108" windowWidth="23256" windowHeight="12576" xr2:uid="{ECE51F8B-FF58-439B-BDF7-BBF03FF49EDD}"/>
  </bookViews>
  <sheets>
    <sheet name="Data Entry" sheetId="1" r:id="rId1"/>
    <sheet name="Commons" sheetId="3" r:id="rId2"/>
    <sheet name="Kitchen" sheetId="7" r:id="rId3"/>
    <sheet name="Bathroom" sheetId="9" r:id="rId4"/>
    <sheet name="Analysis" sheetId="10" r:id="rId5"/>
  </sheets>
  <functionGroups builtInGroupCount="19"/>
  <definedNames>
    <definedName name="_xlnm._FilterDatabase" localSheetId="4" hidden="1">Analysis!$A$1:$G$1</definedName>
    <definedName name="_xlnm.Print_Area" localSheetId="2">Kitchen!$A$2:$N$37</definedName>
    <definedName name="start_day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7" i="9" l="1"/>
  <c r="K7" i="9"/>
  <c r="I7" i="9"/>
  <c r="G7" i="9"/>
  <c r="E7" i="9"/>
  <c r="C7" i="9"/>
  <c r="A7" i="9"/>
  <c r="M7" i="7"/>
  <c r="K7" i="7"/>
  <c r="I7" i="7"/>
  <c r="G7" i="7"/>
  <c r="E7" i="7"/>
  <c r="C7" i="7"/>
  <c r="A7" i="7"/>
</calcChain>
</file>

<file path=xl/sharedStrings.xml><?xml version="1.0" encoding="utf-8"?>
<sst xmlns="http://schemas.openxmlformats.org/spreadsheetml/2006/main" count="1618" uniqueCount="335">
  <si>
    <t>User Inputs</t>
  </si>
  <si>
    <t>Commons Details:</t>
  </si>
  <si>
    <t>Number of Residents</t>
  </si>
  <si>
    <t>Rec Room</t>
  </si>
  <si>
    <t>MWF</t>
  </si>
  <si>
    <t>Detail Start Date</t>
  </si>
  <si>
    <t>S. Lobbies</t>
  </si>
  <si>
    <t>TR</t>
  </si>
  <si>
    <t>Detail End Date</t>
  </si>
  <si>
    <t>N. Lobbies</t>
  </si>
  <si>
    <t>TF</t>
  </si>
  <si>
    <t>CC Detail Frequency</t>
  </si>
  <si>
    <t>S. Hall &amp; Stairs</t>
  </si>
  <si>
    <t>MTWRF</t>
  </si>
  <si>
    <t>N. Hall &amp; Stairs</t>
  </si>
  <si>
    <t>Labor Day</t>
  </si>
  <si>
    <t>S. Breezeway</t>
  </si>
  <si>
    <t>UF Homecoming</t>
  </si>
  <si>
    <t>N. Breezeway</t>
  </si>
  <si>
    <t>Veteran's Day</t>
  </si>
  <si>
    <t>Thanksgiving Wednesday</t>
  </si>
  <si>
    <t>First Name</t>
  </si>
  <si>
    <t>Last Name</t>
  </si>
  <si>
    <t>Seniority</t>
  </si>
  <si>
    <t>Hallway</t>
  </si>
  <si>
    <t>Thanksgiving Thursday</t>
  </si>
  <si>
    <t>Thanksgiving Friday</t>
  </si>
  <si>
    <t>MLK Day</t>
  </si>
  <si>
    <t>Spring Break Monday</t>
  </si>
  <si>
    <t>Spring Break Tuesday</t>
  </si>
  <si>
    <t>Spring Break Wednesday</t>
  </si>
  <si>
    <t>Spring Break Thursday</t>
  </si>
  <si>
    <t>Spring Break Friday</t>
  </si>
  <si>
    <t>Memorial Day</t>
  </si>
  <si>
    <t>July 4th</t>
  </si>
  <si>
    <t>Christmas</t>
  </si>
  <si>
    <t>New Year</t>
  </si>
  <si>
    <t>Commons Crew Details</t>
  </si>
  <si>
    <t>Detail</t>
  </si>
  <si>
    <t>Name</t>
  </si>
  <si>
    <t>Extension</t>
  </si>
  <si>
    <t>Resident Initials</t>
  </si>
  <si>
    <t>Manager Initials</t>
  </si>
  <si>
    <t>Comments</t>
  </si>
  <si>
    <t>Fine</t>
  </si>
  <si>
    <t>Bonus</t>
  </si>
  <si>
    <t>Compensation:</t>
  </si>
  <si>
    <r>
      <t xml:space="preserve">Kitchen Manager: </t>
    </r>
    <r>
      <rPr>
        <sz val="13"/>
        <rFont val="Arial"/>
        <family val="2"/>
      </rPr>
      <t>Isaac Paley</t>
    </r>
  </si>
  <si>
    <r>
      <t xml:space="preserve">Phone Number: </t>
    </r>
    <r>
      <rPr>
        <sz val="13"/>
        <rFont val="Arial"/>
        <family val="2"/>
      </rPr>
      <t>954-592-7007</t>
    </r>
  </si>
  <si>
    <r>
      <t xml:space="preserve">Email: </t>
    </r>
    <r>
      <rPr>
        <sz val="13"/>
        <rFont val="Arial"/>
        <family val="2"/>
      </rPr>
      <t>isaacbpaley@gmail.com</t>
    </r>
  </si>
  <si>
    <r>
      <t xml:space="preserve">Room Number: </t>
    </r>
    <r>
      <rPr>
        <sz val="13"/>
        <rFont val="Arial"/>
        <family val="2"/>
      </rPr>
      <t>S108</t>
    </r>
  </si>
  <si>
    <t>K Detail Frequency</t>
  </si>
  <si>
    <t>SMTWRF</t>
  </si>
  <si>
    <t>SMWF</t>
  </si>
  <si>
    <t>CC Detail Frequency:</t>
  </si>
  <si>
    <t>STR</t>
  </si>
  <si>
    <t>B Detail Frequency</t>
  </si>
  <si>
    <t>K Detail Resident Number</t>
  </si>
  <si>
    <t>K Detail Number</t>
  </si>
  <si>
    <t>Instructions</t>
  </si>
  <si>
    <t>Commons</t>
  </si>
  <si>
    <t>Kitchen</t>
  </si>
  <si>
    <t>Bathroom</t>
  </si>
  <si>
    <t>3. Fill out the table with resident information and bonus/compensation information</t>
  </si>
  <si>
    <t>4. Generate any calendar you wish by clicking the respective button</t>
  </si>
  <si>
    <t>Version History</t>
  </si>
  <si>
    <t>Creator: Isaac Paley</t>
  </si>
  <si>
    <t>Phone Number: 954-592-7007</t>
  </si>
  <si>
    <t>Notes</t>
  </si>
  <si>
    <t>5. Reference the "Analysis" tab to briefly ensure accuracy of calendars</t>
  </si>
  <si>
    <t>6. Print the calendars by navigating to the respective sheet and hitting Ctrl+P</t>
  </si>
  <si>
    <t>Outside Doorways and Laundry Room</t>
  </si>
  <si>
    <t>1. Fill out all the user inputs, including any relevant holidays</t>
  </si>
  <si>
    <t>1. Ensure the detail start and end dates match the selected frequencies</t>
  </si>
  <si>
    <t>2. Each holiday field can hold only one date</t>
  </si>
  <si>
    <t>4. The CC detail list can be edited; simply unhide and edit column O</t>
  </si>
  <si>
    <t>2. Click "Generate Table," which will generate an empty table with all the data categories needed</t>
  </si>
  <si>
    <t>7. If you wish to start over, please press "Reset All" and "Delete Table"</t>
  </si>
  <si>
    <t>Month</t>
  </si>
  <si>
    <t>5. When copying in resident information, please paste values only</t>
  </si>
  <si>
    <t>CC Gender Matching</t>
  </si>
  <si>
    <t>Yes</t>
  </si>
  <si>
    <t>No</t>
  </si>
  <si>
    <t xml:space="preserve">Bathroom Manager: </t>
  </si>
  <si>
    <t xml:space="preserve">Phone Number: </t>
  </si>
  <si>
    <t xml:space="preserve">Email: </t>
  </si>
  <si>
    <t xml:space="preserve">Room Number: </t>
  </si>
  <si>
    <t>3. More holiday fields can be added by inserting cells in that section</t>
  </si>
  <si>
    <t>6. If the program ever breaks, simply close out and restart</t>
  </si>
  <si>
    <t>Holiday Date</t>
  </si>
  <si>
    <t>Holiday Name</t>
  </si>
  <si>
    <t>STF</t>
  </si>
  <si>
    <t>C Compensation</t>
  </si>
  <si>
    <t>K Compensation</t>
  </si>
  <si>
    <t>B Compensation</t>
  </si>
  <si>
    <t>C Bonuses</t>
  </si>
  <si>
    <t>K Bonuses</t>
  </si>
  <si>
    <t>B Bonuses</t>
  </si>
  <si>
    <t>Kaylee</t>
  </si>
  <si>
    <t>Folta</t>
  </si>
  <si>
    <t>NE1</t>
  </si>
  <si>
    <t>Lydia</t>
  </si>
  <si>
    <t>Parker</t>
  </si>
  <si>
    <t>Olivia</t>
  </si>
  <si>
    <t>Henry</t>
  </si>
  <si>
    <t>Sarah</t>
  </si>
  <si>
    <t>Reif</t>
  </si>
  <si>
    <t>Nia</t>
  </si>
  <si>
    <t>Phelps</t>
  </si>
  <si>
    <t>Riley</t>
  </si>
  <si>
    <t>Sauers</t>
  </si>
  <si>
    <t>Laura</t>
  </si>
  <si>
    <t>Ellis</t>
  </si>
  <si>
    <t>Natalie</t>
  </si>
  <si>
    <t>Guettler</t>
  </si>
  <si>
    <t>Ivanna</t>
  </si>
  <si>
    <t>Dilorenzo</t>
  </si>
  <si>
    <t>Savannah</t>
  </si>
  <si>
    <t>Woodall</t>
  </si>
  <si>
    <t>Meryem</t>
  </si>
  <si>
    <t>Yuksel</t>
  </si>
  <si>
    <t>NE2</t>
  </si>
  <si>
    <t>Meylin</t>
  </si>
  <si>
    <t>Muniz</t>
  </si>
  <si>
    <t>Raichel</t>
  </si>
  <si>
    <t>Gulde</t>
  </si>
  <si>
    <t>Phuong</t>
  </si>
  <si>
    <t>Thao</t>
  </si>
  <si>
    <t>Esther</t>
  </si>
  <si>
    <t>Reinhold</t>
  </si>
  <si>
    <t>Yamine</t>
  </si>
  <si>
    <t>Janvier</t>
  </si>
  <si>
    <t>Kathryn</t>
  </si>
  <si>
    <t>Palmer</t>
  </si>
  <si>
    <t>Shelby</t>
  </si>
  <si>
    <t>Fultz</t>
  </si>
  <si>
    <t>Kate</t>
  </si>
  <si>
    <t>Litke</t>
  </si>
  <si>
    <t>Elizabeth</t>
  </si>
  <si>
    <t>Ashtyn</t>
  </si>
  <si>
    <t>Plunkett</t>
  </si>
  <si>
    <t>NW1</t>
  </si>
  <si>
    <t>Aurora</t>
  </si>
  <si>
    <t>Amesbury</t>
  </si>
  <si>
    <t>Charlotte</t>
  </si>
  <si>
    <t>Coon</t>
  </si>
  <si>
    <t>Claire</t>
  </si>
  <si>
    <t>Seiler</t>
  </si>
  <si>
    <t>Eleanore</t>
  </si>
  <si>
    <t>Brown</t>
  </si>
  <si>
    <t>Ortiz</t>
  </si>
  <si>
    <t>Abie</t>
  </si>
  <si>
    <t>King</t>
  </si>
  <si>
    <t>Dajhia</t>
  </si>
  <si>
    <t>Preston</t>
  </si>
  <si>
    <t>Dalice</t>
  </si>
  <si>
    <t>Betterson-Smith</t>
  </si>
  <si>
    <t>Christine</t>
  </si>
  <si>
    <t>Smykowski</t>
  </si>
  <si>
    <t>Emily</t>
  </si>
  <si>
    <t>Faunce</t>
  </si>
  <si>
    <t>NW2</t>
  </si>
  <si>
    <t>Paige</t>
  </si>
  <si>
    <t>Irene</t>
  </si>
  <si>
    <t>Fong</t>
  </si>
  <si>
    <t>Madeleine</t>
  </si>
  <si>
    <t>Fry</t>
  </si>
  <si>
    <t>Marianne</t>
  </si>
  <si>
    <t>Choy</t>
  </si>
  <si>
    <t>Tessa</t>
  </si>
  <si>
    <t>Ricker</t>
  </si>
  <si>
    <t>Daniela</t>
  </si>
  <si>
    <t>Moriera</t>
  </si>
  <si>
    <t>Theresa</t>
  </si>
  <si>
    <t>Joyce</t>
  </si>
  <si>
    <t>Griffith</t>
  </si>
  <si>
    <t>Julia</t>
  </si>
  <si>
    <t>Clow</t>
  </si>
  <si>
    <t>Dominick</t>
  </si>
  <si>
    <t>Haight</t>
  </si>
  <si>
    <t>SE1</t>
  </si>
  <si>
    <t>John</t>
  </si>
  <si>
    <t>McCarthy</t>
  </si>
  <si>
    <t>Ethan</t>
  </si>
  <si>
    <t>Butz</t>
  </si>
  <si>
    <t>Isaac</t>
  </si>
  <si>
    <t>Paley</t>
  </si>
  <si>
    <t>Jackson</t>
  </si>
  <si>
    <t>Higgins</t>
  </si>
  <si>
    <t>Zack</t>
  </si>
  <si>
    <t>Zeller</t>
  </si>
  <si>
    <t>Paul</t>
  </si>
  <si>
    <t>Smith</t>
  </si>
  <si>
    <t>Eddie</t>
  </si>
  <si>
    <t>Datz</t>
  </si>
  <si>
    <t>Edgar</t>
  </si>
  <si>
    <t>Hernandez</t>
  </si>
  <si>
    <t>Tony</t>
  </si>
  <si>
    <t>Lopez</t>
  </si>
  <si>
    <t>Derek</t>
  </si>
  <si>
    <t>Phen</t>
  </si>
  <si>
    <t>SE2</t>
  </si>
  <si>
    <t>Hunter</t>
  </si>
  <si>
    <t>Hamilton</t>
  </si>
  <si>
    <t>Noah</t>
  </si>
  <si>
    <t>Michael</t>
  </si>
  <si>
    <t>Miller</t>
  </si>
  <si>
    <t>Nathan</t>
  </si>
  <si>
    <t>VandePol</t>
  </si>
  <si>
    <t>Nathaniel</t>
  </si>
  <si>
    <t>Ball</t>
  </si>
  <si>
    <t>David</t>
  </si>
  <si>
    <t>Mara</t>
  </si>
  <si>
    <t>Sharpe</t>
  </si>
  <si>
    <t>Dawe</t>
  </si>
  <si>
    <t>Ming</t>
  </si>
  <si>
    <t>Li</t>
  </si>
  <si>
    <t>Alex</t>
  </si>
  <si>
    <t>Feinstein</t>
  </si>
  <si>
    <t>SW1</t>
  </si>
  <si>
    <t>Alexander</t>
  </si>
  <si>
    <t>Gonzalez</t>
  </si>
  <si>
    <t>Amilqar</t>
  </si>
  <si>
    <t>Karam</t>
  </si>
  <si>
    <t>Cameron</t>
  </si>
  <si>
    <t>Conrad</t>
  </si>
  <si>
    <t>Wyrick</t>
  </si>
  <si>
    <t>Andres</t>
  </si>
  <si>
    <t>Holguin</t>
  </si>
  <si>
    <t>Abdias</t>
  </si>
  <si>
    <t>Noel</t>
  </si>
  <si>
    <t>Austin</t>
  </si>
  <si>
    <t>Jacobs</t>
  </si>
  <si>
    <t>Daniel</t>
  </si>
  <si>
    <t>Beckman</t>
  </si>
  <si>
    <t>Aaron</t>
  </si>
  <si>
    <t>Walley</t>
  </si>
  <si>
    <t>Kolten</t>
  </si>
  <si>
    <t>Kossler</t>
  </si>
  <si>
    <t>SW2</t>
  </si>
  <si>
    <t>Ruiz</t>
  </si>
  <si>
    <t>Sean</t>
  </si>
  <si>
    <t>Cook</t>
  </si>
  <si>
    <t>Seth</t>
  </si>
  <si>
    <t>Thaer</t>
  </si>
  <si>
    <t>Graysen</t>
  </si>
  <si>
    <t>Jones</t>
  </si>
  <si>
    <t>Joshua</t>
  </si>
  <si>
    <t>Dargan</t>
  </si>
  <si>
    <t>Seppanen</t>
  </si>
  <si>
    <t>Kenton</t>
  </si>
  <si>
    <t>Coburn</t>
  </si>
  <si>
    <t>Kevin</t>
  </si>
  <si>
    <t>Zhang</t>
  </si>
  <si>
    <t>Meryem Y</t>
  </si>
  <si>
    <t>Meylin M</t>
  </si>
  <si>
    <t>Raichel G</t>
  </si>
  <si>
    <t>Dominick H</t>
  </si>
  <si>
    <t>Alex F</t>
  </si>
  <si>
    <t>Kaylee F</t>
  </si>
  <si>
    <t>Lydia P</t>
  </si>
  <si>
    <t>Olivia H</t>
  </si>
  <si>
    <t>Phuong T</t>
  </si>
  <si>
    <t>Ashtyn P</t>
  </si>
  <si>
    <t>Aurora A</t>
  </si>
  <si>
    <t>Charlotte C</t>
  </si>
  <si>
    <t>Claire S</t>
  </si>
  <si>
    <t>Eleanore B</t>
  </si>
  <si>
    <t>Elizabeth O</t>
  </si>
  <si>
    <t>Emily F</t>
  </si>
  <si>
    <t>Paige F</t>
  </si>
  <si>
    <t>John M</t>
  </si>
  <si>
    <t>Derek P</t>
  </si>
  <si>
    <t>Hunter H</t>
  </si>
  <si>
    <t>Noah P</t>
  </si>
  <si>
    <t>Alexander G</t>
  </si>
  <si>
    <t>Amilqar K</t>
  </si>
  <si>
    <t>Cameron P</t>
  </si>
  <si>
    <t>Conrad W</t>
  </si>
  <si>
    <t>Kolten K</t>
  </si>
  <si>
    <t>Michael R</t>
  </si>
  <si>
    <t>Sean C</t>
  </si>
  <si>
    <t>Seth W</t>
  </si>
  <si>
    <t>Thaer K</t>
  </si>
  <si>
    <t>Esther R</t>
  </si>
  <si>
    <t>Yamine J</t>
  </si>
  <si>
    <t>Michael M</t>
  </si>
  <si>
    <t>Sarah R</t>
  </si>
  <si>
    <t>Irene F</t>
  </si>
  <si>
    <t>Madeleine F</t>
  </si>
  <si>
    <t>Nia P</t>
  </si>
  <si>
    <t>Riley S</t>
  </si>
  <si>
    <t>Abie K</t>
  </si>
  <si>
    <t>Marianne C</t>
  </si>
  <si>
    <t>Tessa R</t>
  </si>
  <si>
    <t>Ethan B</t>
  </si>
  <si>
    <t>Nathan V</t>
  </si>
  <si>
    <t>Nathaniel B</t>
  </si>
  <si>
    <t>Laura E</t>
  </si>
  <si>
    <t>Daniela M</t>
  </si>
  <si>
    <t>Theresa G</t>
  </si>
  <si>
    <t>Dajhia P</t>
  </si>
  <si>
    <t>Dalice B</t>
  </si>
  <si>
    <t>Isaac P</t>
  </si>
  <si>
    <t>Jackson H</t>
  </si>
  <si>
    <t>Andres H</t>
  </si>
  <si>
    <t>Graysen J</t>
  </si>
  <si>
    <t>Joshua D</t>
  </si>
  <si>
    <t>Noah S</t>
  </si>
  <si>
    <t>Natalie G</t>
  </si>
  <si>
    <t>Kathryn P</t>
  </si>
  <si>
    <t>Shelby F</t>
  </si>
  <si>
    <t>Zack Z</t>
  </si>
  <si>
    <t>Abdias N</t>
  </si>
  <si>
    <t>Austin J</t>
  </si>
  <si>
    <t>Kate L</t>
  </si>
  <si>
    <t>Christine S</t>
  </si>
  <si>
    <t>Paul S</t>
  </si>
  <si>
    <t>Eddie D</t>
  </si>
  <si>
    <t>David M</t>
  </si>
  <si>
    <t>Hunter S</t>
  </si>
  <si>
    <t>Daniel B</t>
  </si>
  <si>
    <t>Ivanna D</t>
  </si>
  <si>
    <t>Kenton C</t>
  </si>
  <si>
    <t>Kevin Z</t>
  </si>
  <si>
    <t>Savannah W</t>
  </si>
  <si>
    <t>Elizabeth P</t>
  </si>
  <si>
    <t>Joyce G</t>
  </si>
  <si>
    <t>Julia C</t>
  </si>
  <si>
    <t>Aaron W</t>
  </si>
  <si>
    <t>Edgar H</t>
  </si>
  <si>
    <t>Tony L</t>
  </si>
  <si>
    <t>Parker D</t>
  </si>
  <si>
    <t>Ming L</t>
  </si>
  <si>
    <t>Last Modified: 11/16/2020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</si>
</sst>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[$-F800]dddd\,\ mmmm\ dd\,\ yyyy"/>
    <numFmt numFmtId="165" formatCode="d"/>
    <numFmt numFmtId="166" formatCode="dddd"/>
    <numFmt numFmtId="167" formatCode="mmmm\ yyyy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0"/>
      <name val="Arial"/>
      <family val="2"/>
    </font>
    <font>
      <b/>
      <sz val="20"/>
      <name val="Arial"/>
      <family val="2"/>
    </font>
    <font>
      <sz val="10"/>
      <color rgb="FF00000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6"/>
      <color theme="0"/>
      <name val="Calibri Light"/>
      <family val="2"/>
      <scheme val="major"/>
    </font>
    <font>
      <sz val="7"/>
      <name val="Arial"/>
      <family val="2"/>
    </font>
    <font>
      <sz val="15"/>
      <name val="Arial"/>
      <family val="2"/>
    </font>
    <font>
      <b/>
      <sz val="13"/>
      <name val="Arial"/>
      <family val="2"/>
    </font>
    <font>
      <sz val="13"/>
      <name val="Arial"/>
      <family val="2"/>
    </font>
    <font>
      <sz val="15"/>
      <color theme="6" tint="0.39997558519241921"/>
      <name val="Calibri"/>
      <family val="2"/>
      <scheme val="minor"/>
    </font>
    <font>
      <b/>
      <sz val="15"/>
      <color theme="6" tint="0.39997558519241921"/>
      <name val="Century Gothic"/>
      <family val="2"/>
    </font>
    <font>
      <sz val="8"/>
      <color theme="6" tint="0.39997558519241921"/>
      <name val="Century Gothic"/>
      <family val="2"/>
    </font>
    <font>
      <sz val="10"/>
      <color theme="6" tint="0.39997558519241921"/>
      <name val="Arial"/>
      <family val="2"/>
    </font>
    <font>
      <b/>
      <sz val="15"/>
      <name val="Calibri"/>
      <family val="2"/>
      <scheme val="minor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u/>
      <sz val="15"/>
      <color theme="1"/>
      <name val="Calibri"/>
      <family val="2"/>
      <scheme val="minor"/>
    </font>
    <font>
      <b/>
      <sz val="40"/>
      <color rgb="FF0070C0"/>
      <name val="Calibri Light"/>
      <family val="2"/>
      <scheme val="major"/>
    </font>
    <font>
      <b/>
      <sz val="45"/>
      <color rgb="FF0070C0"/>
      <name val="Calibri Light"/>
      <family val="2"/>
      <scheme val="major"/>
    </font>
    <font>
      <b/>
      <sz val="45"/>
      <color rgb="FFE60000"/>
      <name val="Calibri Light"/>
      <family val="2"/>
      <scheme val="major"/>
    </font>
    <font>
      <b/>
      <sz val="13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6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</borders>
  <cellStyleXfs count="5">
    <xf numFmtId="0" fontId="0" fillId="0" borderId="0"/>
    <xf numFmtId="0" fontId="4" fillId="0" borderId="0"/>
    <xf numFmtId="9" fontId="9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17">
    <xf numFmtId="0" fontId="0" fillId="0" borderId="0" xfId="0"/>
    <xf numFmtId="0" fontId="1" fillId="0" borderId="0" xfId="0" applyFont="1"/>
    <xf numFmtId="0" fontId="6" fillId="0" borderId="1" xfId="0" applyFont="1" applyBorder="1" applyAlignment="1">
      <alignment vertical="center" wrapText="1"/>
    </xf>
    <xf numFmtId="0" fontId="5" fillId="0" borderId="0" xfId="0" applyFont="1"/>
    <xf numFmtId="0" fontId="6" fillId="0" borderId="0" xfId="0" applyFont="1" applyBorder="1" applyAlignment="1">
      <alignment vertical="center"/>
    </xf>
    <xf numFmtId="0" fontId="6" fillId="0" borderId="0" xfId="0" applyFont="1" applyBorder="1" applyAlignment="1">
      <alignment vertical="center" wrapText="1"/>
    </xf>
    <xf numFmtId="0" fontId="6" fillId="0" borderId="0" xfId="0" applyFont="1"/>
    <xf numFmtId="0" fontId="6" fillId="0" borderId="0" xfId="0" applyFont="1" applyAlignment="1">
      <alignment vertical="center"/>
    </xf>
    <xf numFmtId="0" fontId="6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0" fontId="6" fillId="0" borderId="0" xfId="0" applyFont="1" applyAlignment="1">
      <alignment vertical="center" wrapText="1"/>
    </xf>
    <xf numFmtId="9" fontId="0" fillId="0" borderId="0" xfId="0" applyNumberFormat="1"/>
    <xf numFmtId="9" fontId="0" fillId="0" borderId="0" xfId="2" applyFont="1"/>
    <xf numFmtId="0" fontId="10" fillId="0" borderId="0" xfId="3"/>
    <xf numFmtId="0" fontId="10" fillId="0" borderId="0" xfId="3" applyAlignment="1">
      <alignment vertical="center"/>
    </xf>
    <xf numFmtId="0" fontId="11" fillId="0" borderId="0" xfId="3" applyFont="1" applyAlignment="1">
      <alignment vertical="center"/>
    </xf>
    <xf numFmtId="0" fontId="13" fillId="0" borderId="0" xfId="3" applyFont="1"/>
    <xf numFmtId="0" fontId="11" fillId="0" borderId="0" xfId="3" applyFont="1"/>
    <xf numFmtId="0" fontId="14" fillId="0" borderId="0" xfId="3" applyFont="1"/>
    <xf numFmtId="0" fontId="11" fillId="0" borderId="0" xfId="3" applyFont="1" applyAlignment="1"/>
    <xf numFmtId="0" fontId="11" fillId="0" borderId="0" xfId="3" applyFont="1" applyBorder="1" applyAlignment="1"/>
    <xf numFmtId="0" fontId="10" fillId="0" borderId="0" xfId="3" applyBorder="1"/>
    <xf numFmtId="0" fontId="14" fillId="0" borderId="0" xfId="3" applyFont="1" applyAlignment="1">
      <alignment vertical="center"/>
    </xf>
    <xf numFmtId="0" fontId="15" fillId="0" borderId="0" xfId="3" applyFont="1"/>
    <xf numFmtId="0" fontId="16" fillId="0" borderId="0" xfId="3" applyFont="1"/>
    <xf numFmtId="0" fontId="16" fillId="0" borderId="0" xfId="3" applyFont="1" applyAlignment="1"/>
    <xf numFmtId="0" fontId="16" fillId="0" borderId="0" xfId="3" applyFont="1" applyBorder="1" applyAlignment="1"/>
    <xf numFmtId="0" fontId="17" fillId="0" borderId="8" xfId="3" applyFont="1" applyBorder="1"/>
    <xf numFmtId="0" fontId="18" fillId="0" borderId="8" xfId="3" applyFont="1" applyBorder="1"/>
    <xf numFmtId="0" fontId="18" fillId="0" borderId="9" xfId="3" applyFont="1" applyBorder="1"/>
    <xf numFmtId="0" fontId="19" fillId="0" borderId="0" xfId="3" applyFont="1" applyBorder="1" applyAlignment="1">
      <alignment vertical="top" wrapText="1"/>
    </xf>
    <xf numFmtId="0" fontId="20" fillId="0" borderId="0" xfId="3" applyFont="1" applyBorder="1"/>
    <xf numFmtId="0" fontId="19" fillId="0" borderId="6" xfId="3" applyFont="1" applyBorder="1" applyAlignment="1">
      <alignment vertical="top" wrapText="1"/>
    </xf>
    <xf numFmtId="0" fontId="19" fillId="0" borderId="4" xfId="3" applyFont="1" applyBorder="1" applyAlignment="1">
      <alignment vertical="top" wrapText="1"/>
    </xf>
    <xf numFmtId="0" fontId="20" fillId="0" borderId="4" xfId="3" applyFont="1" applyBorder="1" applyAlignment="1">
      <alignment vertical="center"/>
    </xf>
    <xf numFmtId="0" fontId="19" fillId="0" borderId="5" xfId="3" applyFont="1" applyBorder="1" applyAlignment="1">
      <alignment vertical="top" wrapText="1"/>
    </xf>
    <xf numFmtId="0" fontId="18" fillId="0" borderId="8" xfId="3" applyFont="1" applyBorder="1" applyAlignment="1">
      <alignment vertical="top"/>
    </xf>
    <xf numFmtId="0" fontId="10" fillId="0" borderId="3" xfId="3" applyBorder="1"/>
    <xf numFmtId="0" fontId="10" fillId="0" borderId="5" xfId="3" applyBorder="1"/>
    <xf numFmtId="0" fontId="10" fillId="0" borderId="8" xfId="3" applyBorder="1"/>
    <xf numFmtId="0" fontId="10" fillId="0" borderId="4" xfId="3" applyBorder="1"/>
    <xf numFmtId="0" fontId="1" fillId="3" borderId="11" xfId="0" applyFont="1" applyFill="1" applyBorder="1" applyAlignment="1"/>
    <xf numFmtId="0" fontId="0" fillId="3" borderId="12" xfId="0" applyFont="1" applyFill="1" applyBorder="1" applyAlignment="1">
      <alignment horizontal="right"/>
    </xf>
    <xf numFmtId="0" fontId="1" fillId="3" borderId="11" xfId="0" applyFont="1" applyFill="1" applyBorder="1"/>
    <xf numFmtId="14" fontId="0" fillId="3" borderId="12" xfId="0" applyNumberFormat="1" applyFill="1" applyBorder="1"/>
    <xf numFmtId="0" fontId="0" fillId="3" borderId="12" xfId="0" applyNumberFormat="1" applyFill="1" applyBorder="1" applyAlignment="1">
      <alignment horizontal="right"/>
    </xf>
    <xf numFmtId="14" fontId="0" fillId="3" borderId="12" xfId="0" applyNumberFormat="1" applyFill="1" applyBorder="1" applyAlignment="1">
      <alignment horizontal="right"/>
    </xf>
    <xf numFmtId="0" fontId="1" fillId="3" borderId="13" xfId="0" applyFont="1" applyFill="1" applyBorder="1"/>
    <xf numFmtId="14" fontId="0" fillId="3" borderId="14" xfId="0" applyNumberFormat="1" applyFill="1" applyBorder="1"/>
    <xf numFmtId="2" fontId="0" fillId="7" borderId="11" xfId="0" applyNumberFormat="1" applyFill="1" applyBorder="1"/>
    <xf numFmtId="0" fontId="0" fillId="7" borderId="12" xfId="0" applyFill="1" applyBorder="1"/>
    <xf numFmtId="0" fontId="0" fillId="7" borderId="11" xfId="0" applyFill="1" applyBorder="1"/>
    <xf numFmtId="0" fontId="0" fillId="7" borderId="13" xfId="0" applyFill="1" applyBorder="1"/>
    <xf numFmtId="0" fontId="0" fillId="7" borderId="14" xfId="0" applyFill="1" applyBorder="1"/>
    <xf numFmtId="9" fontId="0" fillId="6" borderId="0" xfId="2" applyFont="1" applyFill="1" applyBorder="1"/>
    <xf numFmtId="0" fontId="0" fillId="6" borderId="0" xfId="0" applyFill="1" applyBorder="1"/>
    <xf numFmtId="0" fontId="0" fillId="6" borderId="11" xfId="0" applyFill="1" applyBorder="1"/>
    <xf numFmtId="0" fontId="0" fillId="6" borderId="13" xfId="0" applyFill="1" applyBorder="1"/>
    <xf numFmtId="0" fontId="6" fillId="6" borderId="25" xfId="0" applyFont="1" applyFill="1" applyBorder="1" applyAlignment="1">
      <alignment vertical="center"/>
    </xf>
    <xf numFmtId="0" fontId="0" fillId="6" borderId="25" xfId="0" applyFill="1" applyBorder="1"/>
    <xf numFmtId="9" fontId="0" fillId="6" borderId="25" xfId="2" applyFont="1" applyFill="1" applyBorder="1"/>
    <xf numFmtId="0" fontId="0" fillId="8" borderId="0" xfId="2" applyNumberFormat="1" applyFont="1" applyFill="1" applyBorder="1"/>
    <xf numFmtId="0" fontId="0" fillId="8" borderId="0" xfId="0" applyNumberFormat="1" applyFill="1" applyBorder="1"/>
    <xf numFmtId="0" fontId="0" fillId="8" borderId="12" xfId="0" applyNumberFormat="1" applyFill="1" applyBorder="1"/>
    <xf numFmtId="0" fontId="0" fillId="8" borderId="25" xfId="2" applyNumberFormat="1" applyFont="1" applyFill="1" applyBorder="1"/>
    <xf numFmtId="0" fontId="0" fillId="8" borderId="25" xfId="0" applyNumberFormat="1" applyFill="1" applyBorder="1"/>
    <xf numFmtId="0" fontId="0" fillId="8" borderId="14" xfId="0" applyNumberFormat="1" applyFill="1" applyBorder="1"/>
    <xf numFmtId="0" fontId="1" fillId="0" borderId="0" xfId="0" applyFont="1" applyBorder="1"/>
    <xf numFmtId="0" fontId="0" fillId="8" borderId="0" xfId="2" applyNumberFormat="1" applyFont="1" applyFill="1" applyBorder="1" applyAlignment="1">
      <alignment horizontal="left"/>
    </xf>
    <xf numFmtId="0" fontId="0" fillId="8" borderId="12" xfId="2" applyNumberFormat="1" applyFont="1" applyFill="1" applyBorder="1" applyAlignment="1">
      <alignment horizontal="left"/>
    </xf>
    <xf numFmtId="0" fontId="5" fillId="0" borderId="1" xfId="0" applyFont="1" applyBorder="1" applyAlignment="1">
      <alignment horizontal="center" vertical="center" wrapText="1"/>
    </xf>
    <xf numFmtId="0" fontId="28" fillId="3" borderId="26" xfId="0" applyFont="1" applyFill="1" applyBorder="1" applyAlignment="1"/>
    <xf numFmtId="0" fontId="28" fillId="3" borderId="27" xfId="0" applyFont="1" applyFill="1" applyBorder="1" applyAlignment="1">
      <alignment horizontal="right"/>
    </xf>
    <xf numFmtId="0" fontId="0" fillId="0" borderId="0" xfId="0" applyBorder="1"/>
    <xf numFmtId="0" fontId="0" fillId="0" borderId="28" xfId="0" applyBorder="1"/>
    <xf numFmtId="0" fontId="0" fillId="0" borderId="29" xfId="0" applyBorder="1"/>
    <xf numFmtId="0" fontId="0" fillId="6" borderId="11" xfId="0" applyFill="1" applyBorder="1" applyAlignment="1">
      <alignment horizontal="left"/>
    </xf>
    <xf numFmtId="0" fontId="0" fillId="6" borderId="0" xfId="0" applyFill="1" applyBorder="1" applyAlignment="1">
      <alignment horizontal="left"/>
    </xf>
    <xf numFmtId="2" fontId="1" fillId="7" borderId="16" xfId="0" applyNumberFormat="1" applyFont="1" applyFill="1" applyBorder="1" applyAlignment="1">
      <alignment horizontal="center"/>
    </xf>
    <xf numFmtId="2" fontId="1" fillId="7" borderId="17" xfId="0" applyNumberFormat="1" applyFont="1" applyFill="1" applyBorder="1" applyAlignment="1">
      <alignment horizontal="center"/>
    </xf>
    <xf numFmtId="0" fontId="24" fillId="8" borderId="23" xfId="0" applyFont="1" applyFill="1" applyBorder="1" applyAlignment="1">
      <alignment horizontal="center"/>
    </xf>
    <xf numFmtId="0" fontId="24" fillId="8" borderId="24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7" fillId="3" borderId="19" xfId="0" applyFont="1" applyFill="1" applyBorder="1" applyAlignment="1">
      <alignment horizontal="center"/>
    </xf>
    <xf numFmtId="0" fontId="24" fillId="6" borderId="22" xfId="0" applyFont="1" applyFill="1" applyBorder="1" applyAlignment="1">
      <alignment horizontal="center"/>
    </xf>
    <xf numFmtId="0" fontId="24" fillId="6" borderId="23" xfId="0" applyFont="1" applyFill="1" applyBorder="1" applyAlignment="1">
      <alignment horizontal="center"/>
    </xf>
    <xf numFmtId="9" fontId="0" fillId="8" borderId="0" xfId="2" applyFont="1" applyFill="1" applyBorder="1" applyAlignment="1">
      <alignment horizontal="left"/>
    </xf>
    <xf numFmtId="9" fontId="0" fillId="8" borderId="12" xfId="2" applyFont="1" applyFill="1" applyBorder="1" applyAlignment="1">
      <alignment horizontal="left"/>
    </xf>
    <xf numFmtId="0" fontId="0" fillId="8" borderId="0" xfId="2" applyNumberFormat="1" applyFont="1" applyFill="1" applyBorder="1" applyAlignment="1">
      <alignment horizontal="left"/>
    </xf>
    <xf numFmtId="0" fontId="0" fillId="8" borderId="12" xfId="2" applyNumberFormat="1" applyFont="1" applyFill="1" applyBorder="1" applyAlignment="1">
      <alignment horizontal="left"/>
    </xf>
    <xf numFmtId="0" fontId="2" fillId="2" borderId="2" xfId="0" applyFont="1" applyFill="1" applyBorder="1" applyAlignment="1">
      <alignment horizontal="center" wrapText="1"/>
    </xf>
    <xf numFmtId="164" fontId="3" fillId="2" borderId="3" xfId="0" applyNumberFormat="1" applyFont="1" applyFill="1" applyBorder="1" applyAlignment="1">
      <alignment horizontal="center" vertical="center" wrapText="1"/>
    </xf>
    <xf numFmtId="164" fontId="3" fillId="2" borderId="4" xfId="0" applyNumberFormat="1" applyFont="1" applyFill="1" applyBorder="1" applyAlignment="1">
      <alignment horizontal="center" vertical="center" wrapText="1"/>
    </xf>
    <xf numFmtId="164" fontId="3" fillId="2" borderId="5" xfId="0" applyNumberFormat="1" applyFont="1" applyFill="1" applyBorder="1" applyAlignment="1">
      <alignment horizontal="center" vertical="center" wrapText="1"/>
    </xf>
    <xf numFmtId="0" fontId="22" fillId="0" borderId="10" xfId="3" applyFont="1" applyFill="1" applyBorder="1" applyAlignment="1">
      <alignment horizontal="center" vertical="center"/>
    </xf>
    <xf numFmtId="0" fontId="22" fillId="0" borderId="6" xfId="3" applyFont="1" applyFill="1" applyBorder="1" applyAlignment="1">
      <alignment horizontal="center" vertical="center"/>
    </xf>
    <xf numFmtId="0" fontId="22" fillId="0" borderId="10" xfId="3" applyFont="1" applyBorder="1" applyAlignment="1">
      <alignment horizontal="center" vertical="center"/>
    </xf>
    <xf numFmtId="0" fontId="22" fillId="0" borderId="6" xfId="3" applyFont="1" applyBorder="1" applyAlignment="1">
      <alignment horizontal="center" vertical="center"/>
    </xf>
    <xf numFmtId="0" fontId="23" fillId="0" borderId="3" xfId="3" applyFont="1" applyFill="1" applyBorder="1" applyAlignment="1">
      <alignment horizontal="center" vertical="center"/>
    </xf>
    <xf numFmtId="0" fontId="23" fillId="0" borderId="5" xfId="3" applyFont="1" applyFill="1" applyBorder="1" applyAlignment="1">
      <alignment horizontal="center" vertical="center"/>
    </xf>
    <xf numFmtId="0" fontId="23" fillId="0" borderId="3" xfId="3" applyFont="1" applyBorder="1" applyAlignment="1">
      <alignment horizontal="center" vertical="center"/>
    </xf>
    <xf numFmtId="0" fontId="23" fillId="0" borderId="5" xfId="3" applyFont="1" applyBorder="1" applyAlignment="1">
      <alignment horizontal="center" vertical="center"/>
    </xf>
    <xf numFmtId="165" fontId="21" fillId="0" borderId="7" xfId="3" applyNumberFormat="1" applyFont="1" applyFill="1" applyBorder="1" applyAlignment="1">
      <alignment horizontal="left" vertical="center" shrinkToFit="1"/>
    </xf>
    <xf numFmtId="165" fontId="21" fillId="0" borderId="9" xfId="3" applyNumberFormat="1" applyFont="1" applyFill="1" applyBorder="1" applyAlignment="1">
      <alignment horizontal="left" vertical="center" shrinkToFit="1"/>
    </xf>
    <xf numFmtId="165" fontId="21" fillId="0" borderId="7" xfId="3" applyNumberFormat="1" applyFont="1" applyBorder="1" applyAlignment="1">
      <alignment horizontal="left" vertical="center" shrinkToFit="1"/>
    </xf>
    <xf numFmtId="165" fontId="21" fillId="0" borderId="9" xfId="3" applyNumberFormat="1" applyFont="1" applyBorder="1" applyAlignment="1">
      <alignment horizontal="left" vertical="center" shrinkToFit="1"/>
    </xf>
    <xf numFmtId="167" fontId="27" fillId="0" borderId="0" xfId="3" applyNumberFormat="1" applyFont="1" applyAlignment="1">
      <alignment horizontal="center" vertical="center"/>
    </xf>
    <xf numFmtId="166" fontId="12" fillId="4" borderId="4" xfId="3" applyNumberFormat="1" applyFont="1" applyFill="1" applyBorder="1" applyAlignment="1">
      <alignment horizontal="center" vertical="center" shrinkToFit="1"/>
    </xf>
    <xf numFmtId="0" fontId="23" fillId="0" borderId="10" xfId="3" applyFont="1" applyFill="1" applyBorder="1" applyAlignment="1">
      <alignment horizontal="center" vertical="center"/>
    </xf>
    <xf numFmtId="0" fontId="23" fillId="0" borderId="6" xfId="3" applyFont="1" applyFill="1" applyBorder="1" applyAlignment="1">
      <alignment horizontal="center" vertical="center"/>
    </xf>
    <xf numFmtId="0" fontId="23" fillId="0" borderId="10" xfId="3" applyFont="1" applyBorder="1" applyAlignment="1">
      <alignment horizontal="center" vertical="center"/>
    </xf>
    <xf numFmtId="0" fontId="23" fillId="0" borderId="6" xfId="3" applyFont="1" applyBorder="1" applyAlignment="1">
      <alignment horizontal="center" vertical="center"/>
    </xf>
    <xf numFmtId="167" fontId="25" fillId="0" borderId="0" xfId="3" applyNumberFormat="1" applyFont="1" applyAlignment="1">
      <alignment horizontal="center"/>
    </xf>
    <xf numFmtId="167" fontId="26" fillId="0" borderId="0" xfId="3" applyNumberFormat="1" applyFont="1" applyAlignment="1">
      <alignment horizontal="center"/>
    </xf>
    <xf numFmtId="166" fontId="12" fillId="5" borderId="20" xfId="3" applyNumberFormat="1" applyFont="1" applyFill="1" applyBorder="1" applyAlignment="1">
      <alignment horizontal="center" vertical="center" shrinkToFit="1"/>
    </xf>
    <xf numFmtId="166" fontId="12" fillId="5" borderId="15" xfId="3" applyNumberFormat="1" applyFont="1" applyFill="1" applyBorder="1" applyAlignment="1">
      <alignment horizontal="center" vertical="center" shrinkToFit="1"/>
    </xf>
    <xf numFmtId="166" fontId="12" fillId="5" borderId="21" xfId="3" applyNumberFormat="1" applyFont="1" applyFill="1" applyBorder="1" applyAlignment="1">
      <alignment horizontal="center" vertical="center" shrinkToFit="1"/>
    </xf>
  </cellXfs>
  <cellStyles count="5">
    <cellStyle name="Comma 2" xfId="4" xr:uid="{F24C4B3C-587F-4193-AEF1-52A8606F56D9}"/>
    <cellStyle name="Normal" xfId="0" builtinId="0"/>
    <cellStyle name="Normal 2" xfId="1" xr:uid="{9F323B96-44E5-4652-B77F-72024B2E7832}"/>
    <cellStyle name="Normal 3" xfId="3" xr:uid="{C4F50515-5436-4009-BD7D-6F6392E6DC1E}"/>
    <cellStyle name="Percent" xfId="2" builtinId="5"/>
  </cellStyles>
  <dxfs count="0"/>
  <tableStyles count="0" defaultTableStyle="TableStyleMedium2" defaultPivotStyle="PivotStyleLight16"/>
  <colors>
    <mruColors>
      <color rgb="FFE600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553</xdr:colOff>
      <xdr:row>10</xdr:row>
      <xdr:rowOff>32327</xdr:rowOff>
    </xdr:from>
    <xdr:to>
      <xdr:col>4</xdr:col>
      <xdr:colOff>1006416</xdr:colOff>
      <xdr:row>13</xdr:row>
      <xdr:rowOff>71413</xdr:rowOff>
    </xdr:to>
    <xdr:sp macro="[0]!GenerateTable" textlink="">
      <xdr:nvSpPr>
        <xdr:cNvPr id="3" name="Rectangle 2">
          <a:extLst>
            <a:ext uri="{FF2B5EF4-FFF2-40B4-BE49-F238E27FC236}">
              <a16:creationId xmlns:a16="http://schemas.microsoft.com/office/drawing/2014/main" id="{5A704D8B-1C67-4377-924A-10FBA321155C}"/>
            </a:ext>
          </a:extLst>
        </xdr:cNvPr>
        <xdr:cNvSpPr/>
      </xdr:nvSpPr>
      <xdr:spPr>
        <a:xfrm>
          <a:off x="3505034" y="2027185"/>
          <a:ext cx="2120108" cy="605195"/>
        </a:xfrm>
        <a:prstGeom prst="rect">
          <a:avLst/>
        </a:prstGeom>
        <a:solidFill>
          <a:schemeClr val="accent3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Generate Table</a:t>
          </a:r>
        </a:p>
      </xdr:txBody>
    </xdr:sp>
    <xdr:clientData/>
  </xdr:twoCellAnchor>
  <xdr:twoCellAnchor>
    <xdr:from>
      <xdr:col>3</xdr:col>
      <xdr:colOff>3242</xdr:colOff>
      <xdr:row>13</xdr:row>
      <xdr:rowOff>109140</xdr:rowOff>
    </xdr:from>
    <xdr:to>
      <xdr:col>4</xdr:col>
      <xdr:colOff>1002110</xdr:colOff>
      <xdr:row>16</xdr:row>
      <xdr:rowOff>153129</xdr:rowOff>
    </xdr:to>
    <xdr:sp macro="[0]!DeleteTable" textlink="">
      <xdr:nvSpPr>
        <xdr:cNvPr id="7" name="Rectangle 6">
          <a:extLst>
            <a:ext uri="{FF2B5EF4-FFF2-40B4-BE49-F238E27FC236}">
              <a16:creationId xmlns:a16="http://schemas.microsoft.com/office/drawing/2014/main" id="{D815DC2B-AA30-46BB-9225-A106E7CA3360}"/>
            </a:ext>
          </a:extLst>
        </xdr:cNvPr>
        <xdr:cNvSpPr/>
      </xdr:nvSpPr>
      <xdr:spPr>
        <a:xfrm>
          <a:off x="3525508" y="2668984"/>
          <a:ext cx="2110118" cy="609536"/>
        </a:xfrm>
        <a:prstGeom prst="rect">
          <a:avLst/>
        </a:prstGeom>
        <a:solidFill>
          <a:schemeClr val="accent3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Delete</a:t>
          </a:r>
          <a:r>
            <a:rPr lang="en-US" sz="2000" b="1" baseline="0"/>
            <a:t> Table</a:t>
          </a:r>
          <a:endParaRPr lang="en-US" sz="2000" b="1"/>
        </a:p>
      </xdr:txBody>
    </xdr:sp>
    <xdr:clientData/>
  </xdr:twoCellAnchor>
  <xdr:twoCellAnchor>
    <xdr:from>
      <xdr:col>4</xdr:col>
      <xdr:colOff>1050075</xdr:colOff>
      <xdr:row>13</xdr:row>
      <xdr:rowOff>112628</xdr:rowOff>
    </xdr:from>
    <xdr:to>
      <xdr:col>7</xdr:col>
      <xdr:colOff>315954</xdr:colOff>
      <xdr:row>16</xdr:row>
      <xdr:rowOff>151715</xdr:rowOff>
    </xdr:to>
    <xdr:sp macro="[0]!ResetCommons" textlink="">
      <xdr:nvSpPr>
        <xdr:cNvPr id="19" name="Rectangle 18">
          <a:extLst>
            <a:ext uri="{FF2B5EF4-FFF2-40B4-BE49-F238E27FC236}">
              <a16:creationId xmlns:a16="http://schemas.microsoft.com/office/drawing/2014/main" id="{A3A985D6-9B37-499F-B2B6-B4852CB2E2B3}"/>
            </a:ext>
          </a:extLst>
        </xdr:cNvPr>
        <xdr:cNvSpPr/>
      </xdr:nvSpPr>
      <xdr:spPr>
        <a:xfrm>
          <a:off x="5807929" y="2649530"/>
          <a:ext cx="2165196" cy="596648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Reset</a:t>
          </a:r>
        </a:p>
      </xdr:txBody>
    </xdr:sp>
    <xdr:clientData/>
  </xdr:twoCellAnchor>
  <xdr:twoCellAnchor>
    <xdr:from>
      <xdr:col>4</xdr:col>
      <xdr:colOff>1050072</xdr:colOff>
      <xdr:row>10</xdr:row>
      <xdr:rowOff>27879</xdr:rowOff>
    </xdr:from>
    <xdr:to>
      <xdr:col>7</xdr:col>
      <xdr:colOff>315951</xdr:colOff>
      <xdr:row>13</xdr:row>
      <xdr:rowOff>77371</xdr:rowOff>
    </xdr:to>
    <xdr:sp macro="[0]!Commons" textlink="">
      <xdr:nvSpPr>
        <xdr:cNvPr id="20" name="Rectangle 19">
          <a:extLst>
            <a:ext uri="{FF2B5EF4-FFF2-40B4-BE49-F238E27FC236}">
              <a16:creationId xmlns:a16="http://schemas.microsoft.com/office/drawing/2014/main" id="{9824C5D4-5C97-4737-9BE4-395E898CC60A}"/>
            </a:ext>
          </a:extLst>
        </xdr:cNvPr>
        <xdr:cNvSpPr/>
      </xdr:nvSpPr>
      <xdr:spPr>
        <a:xfrm>
          <a:off x="5807926" y="2007220"/>
          <a:ext cx="2165196" cy="607053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Commons</a:t>
          </a:r>
        </a:p>
      </xdr:txBody>
    </xdr:sp>
    <xdr:clientData/>
  </xdr:twoCellAnchor>
  <xdr:twoCellAnchor>
    <xdr:from>
      <xdr:col>7</xdr:col>
      <xdr:colOff>353174</xdr:colOff>
      <xdr:row>10</xdr:row>
      <xdr:rowOff>30788</xdr:rowOff>
    </xdr:from>
    <xdr:to>
      <xdr:col>8</xdr:col>
      <xdr:colOff>1221063</xdr:colOff>
      <xdr:row>13</xdr:row>
      <xdr:rowOff>76970</xdr:rowOff>
    </xdr:to>
    <xdr:sp macro="[0]!Kitchen" textlink="">
      <xdr:nvSpPr>
        <xdr:cNvPr id="21" name="Rectangle 20">
          <a:extLst>
            <a:ext uri="{FF2B5EF4-FFF2-40B4-BE49-F238E27FC236}">
              <a16:creationId xmlns:a16="http://schemas.microsoft.com/office/drawing/2014/main" id="{F705153B-F1CC-4F81-947F-C1AF9B4E9551}"/>
            </a:ext>
          </a:extLst>
        </xdr:cNvPr>
        <xdr:cNvSpPr/>
      </xdr:nvSpPr>
      <xdr:spPr>
        <a:xfrm>
          <a:off x="7785885" y="2058864"/>
          <a:ext cx="2114700" cy="624103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Kitchen</a:t>
          </a:r>
        </a:p>
      </xdr:txBody>
    </xdr:sp>
    <xdr:clientData/>
  </xdr:twoCellAnchor>
  <xdr:twoCellAnchor>
    <xdr:from>
      <xdr:col>7</xdr:col>
      <xdr:colOff>357187</xdr:colOff>
      <xdr:row>13</xdr:row>
      <xdr:rowOff>112627</xdr:rowOff>
    </xdr:from>
    <xdr:to>
      <xdr:col>8</xdr:col>
      <xdr:colOff>1222075</xdr:colOff>
      <xdr:row>16</xdr:row>
      <xdr:rowOff>151712</xdr:rowOff>
    </xdr:to>
    <xdr:sp macro="[0]!ResetKitchen" textlink="">
      <xdr:nvSpPr>
        <xdr:cNvPr id="22" name="Rectangle 21">
          <a:extLst>
            <a:ext uri="{FF2B5EF4-FFF2-40B4-BE49-F238E27FC236}">
              <a16:creationId xmlns:a16="http://schemas.microsoft.com/office/drawing/2014/main" id="{6175938F-C95F-44FF-ADD8-121C235F1A73}"/>
            </a:ext>
          </a:extLst>
        </xdr:cNvPr>
        <xdr:cNvSpPr/>
      </xdr:nvSpPr>
      <xdr:spPr>
        <a:xfrm>
          <a:off x="7788671" y="2672471"/>
          <a:ext cx="2115045" cy="604632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Reset</a:t>
          </a:r>
        </a:p>
      </xdr:txBody>
    </xdr:sp>
    <xdr:clientData/>
  </xdr:twoCellAnchor>
  <xdr:twoCellAnchor>
    <xdr:from>
      <xdr:col>8</xdr:col>
      <xdr:colOff>1254125</xdr:colOff>
      <xdr:row>10</xdr:row>
      <xdr:rowOff>27877</xdr:rowOff>
    </xdr:from>
    <xdr:to>
      <xdr:col>10</xdr:col>
      <xdr:colOff>842781</xdr:colOff>
      <xdr:row>13</xdr:row>
      <xdr:rowOff>77369</xdr:rowOff>
    </xdr:to>
    <xdr:sp macro="[0]!Bathroom" textlink="">
      <xdr:nvSpPr>
        <xdr:cNvPr id="23" name="Rectangle 22">
          <a:extLst>
            <a:ext uri="{FF2B5EF4-FFF2-40B4-BE49-F238E27FC236}">
              <a16:creationId xmlns:a16="http://schemas.microsoft.com/office/drawing/2014/main" id="{34AE9304-F247-493F-AEA1-4A9BC98E5F32}"/>
            </a:ext>
          </a:extLst>
        </xdr:cNvPr>
        <xdr:cNvSpPr/>
      </xdr:nvSpPr>
      <xdr:spPr>
        <a:xfrm>
          <a:off x="10160000" y="1980502"/>
          <a:ext cx="2144531" cy="59718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Bathroom</a:t>
          </a:r>
        </a:p>
      </xdr:txBody>
    </xdr:sp>
    <xdr:clientData/>
  </xdr:twoCellAnchor>
  <xdr:twoCellAnchor>
    <xdr:from>
      <xdr:col>8</xdr:col>
      <xdr:colOff>1254125</xdr:colOff>
      <xdr:row>13</xdr:row>
      <xdr:rowOff>111514</xdr:rowOff>
    </xdr:from>
    <xdr:to>
      <xdr:col>10</xdr:col>
      <xdr:colOff>842781</xdr:colOff>
      <xdr:row>16</xdr:row>
      <xdr:rowOff>148684</xdr:rowOff>
    </xdr:to>
    <xdr:sp macro="[0]!ResetBathroom" textlink="">
      <xdr:nvSpPr>
        <xdr:cNvPr id="24" name="Rectangle 23">
          <a:extLst>
            <a:ext uri="{FF2B5EF4-FFF2-40B4-BE49-F238E27FC236}">
              <a16:creationId xmlns:a16="http://schemas.microsoft.com/office/drawing/2014/main" id="{115F4E49-F878-49C2-95BF-98C46DBDCB63}"/>
            </a:ext>
          </a:extLst>
        </xdr:cNvPr>
        <xdr:cNvSpPr/>
      </xdr:nvSpPr>
      <xdr:spPr>
        <a:xfrm>
          <a:off x="10160000" y="2611827"/>
          <a:ext cx="2144531" cy="584857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Reset</a:t>
          </a:r>
        </a:p>
      </xdr:txBody>
    </xdr:sp>
    <xdr:clientData/>
  </xdr:twoCellAnchor>
  <xdr:twoCellAnchor>
    <xdr:from>
      <xdr:col>10</xdr:col>
      <xdr:colOff>873514</xdr:colOff>
      <xdr:row>10</xdr:row>
      <xdr:rowOff>27879</xdr:rowOff>
    </xdr:from>
    <xdr:to>
      <xdr:col>13</xdr:col>
      <xdr:colOff>3</xdr:colOff>
      <xdr:row>13</xdr:row>
      <xdr:rowOff>77371</xdr:rowOff>
    </xdr:to>
    <xdr:sp macro="[0]!CreateAll" textlink="">
      <xdr:nvSpPr>
        <xdr:cNvPr id="25" name="Rectangle 24">
          <a:extLst>
            <a:ext uri="{FF2B5EF4-FFF2-40B4-BE49-F238E27FC236}">
              <a16:creationId xmlns:a16="http://schemas.microsoft.com/office/drawing/2014/main" id="{6366B9B4-BB8A-4C22-A46F-5BB1F297EB1C}"/>
            </a:ext>
          </a:extLst>
        </xdr:cNvPr>
        <xdr:cNvSpPr/>
      </xdr:nvSpPr>
      <xdr:spPr>
        <a:xfrm>
          <a:off x="12055467" y="2022176"/>
          <a:ext cx="2073286" cy="615039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Create</a:t>
          </a:r>
          <a:r>
            <a:rPr lang="en-US" sz="2000" b="1" baseline="0"/>
            <a:t> All</a:t>
          </a:r>
          <a:endParaRPr lang="en-US" sz="2000" b="1"/>
        </a:p>
      </xdr:txBody>
    </xdr:sp>
    <xdr:clientData/>
  </xdr:twoCellAnchor>
  <xdr:twoCellAnchor>
    <xdr:from>
      <xdr:col>10</xdr:col>
      <xdr:colOff>873513</xdr:colOff>
      <xdr:row>13</xdr:row>
      <xdr:rowOff>111513</xdr:rowOff>
    </xdr:from>
    <xdr:to>
      <xdr:col>13</xdr:col>
      <xdr:colOff>2</xdr:colOff>
      <xdr:row>16</xdr:row>
      <xdr:rowOff>148683</xdr:rowOff>
    </xdr:to>
    <xdr:sp macro="[0]!Reset" textlink="">
      <xdr:nvSpPr>
        <xdr:cNvPr id="26" name="Rectangle 25">
          <a:extLst>
            <a:ext uri="{FF2B5EF4-FFF2-40B4-BE49-F238E27FC236}">
              <a16:creationId xmlns:a16="http://schemas.microsoft.com/office/drawing/2014/main" id="{1C0DA655-5807-4A07-9884-80714C73680E}"/>
            </a:ext>
          </a:extLst>
        </xdr:cNvPr>
        <xdr:cNvSpPr/>
      </xdr:nvSpPr>
      <xdr:spPr>
        <a:xfrm>
          <a:off x="12055466" y="2671357"/>
          <a:ext cx="2073286" cy="602717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Reset</a:t>
          </a:r>
          <a:r>
            <a:rPr lang="en-US" sz="2000" b="1" baseline="0"/>
            <a:t> All</a:t>
          </a:r>
          <a:endParaRPr lang="en-US" sz="20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BFB970-7A57-4134-9844-BDF7022AA202}" name="ResidentInformation" displayName="ResidentInformation" ref="D18:M98" totalsRowShown="0">
  <autoFilter ref="D18:M98" xr:uid="{92613746-8755-4ABA-9AF3-F734EFD4E81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sortState xmlns:xlrd2="http://schemas.microsoft.com/office/spreadsheetml/2017/richdata2" ref="D19:M98">
    <sortCondition ref="F19:F98"/>
  </sortState>
  <tableColumns count="10">
    <tableColumn id="1" xr3:uid="{B1B6FDD2-F1BD-48B7-99A1-F321797DC414}" name="First Name"/>
    <tableColumn id="2" xr3:uid="{AAFD33EC-5B26-4322-BEF7-ADE80B633DC9}" name="Last Name"/>
    <tableColumn id="3" xr3:uid="{F81D493E-F6CD-4AA0-99ED-A3008087276B}" name="Seniority"/>
    <tableColumn id="4" xr3:uid="{BF287250-CD45-4FD7-83EC-09DB78045FEF}" name="Hallway"/>
    <tableColumn id="5" xr3:uid="{094EC902-868A-4035-8DB6-B98F48903C16}" name="C Compensation" dataCellStyle="Percent"/>
    <tableColumn id="6" xr3:uid="{B2102F7F-BCD1-482E-9DEA-0A32A73EADD6}" name="K Compensation" dataCellStyle="Percent"/>
    <tableColumn id="7" xr3:uid="{8F5776C8-4DD6-43F0-A35D-5E2D59A36EFC}" name="B Compensation" dataCellStyle="Percent"/>
    <tableColumn id="8" xr3:uid="{148E1007-5216-449E-ADFF-31ACA268A2E8}" name="C Bonuses"/>
    <tableColumn id="9" xr3:uid="{DF3B0DDB-DBC5-419B-8D2C-716C32D5E1D0}" name="K Bonuses"/>
    <tableColumn id="10" xr3:uid="{5B3B6F7E-89FB-49BB-9438-42BF13DED333}" name="B Bonus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C9A17-C6DB-4E01-9B35-5270B6EFB788}">
  <sheetPr codeName="Sheet1">
    <pageSetUpPr autoPageBreaks="0"/>
  </sheetPr>
  <dimension ref="A1:Z2582"/>
  <sheetViews>
    <sheetView showGridLines="0" tabSelected="1" zoomScale="85" zoomScaleNormal="85" workbookViewId="0">
      <selection activeCell="B33" sqref="B33"/>
    </sheetView>
  </sheetViews>
  <sheetFormatPr defaultRowHeight="14.4" x14ac:dyDescent="0.3"/>
  <cols>
    <col min="1" max="1" width="26.6640625" bestFit="1" customWidth="1"/>
    <col min="2" max="2" width="22.5546875" bestFit="1" customWidth="1"/>
    <col min="3" max="3" width="3.44140625" customWidth="1"/>
    <col min="4" max="5" width="16.6640625" customWidth="1"/>
    <col min="6" max="7" width="12.6640625" customWidth="1"/>
    <col min="8" max="10" width="18.6640625" style="12" customWidth="1"/>
    <col min="11" max="13" width="14.6640625" customWidth="1"/>
    <col min="14" max="14" width="8.88671875" customWidth="1"/>
    <col min="15" max="16" width="19.33203125" style="6" customWidth="1"/>
    <col min="17" max="17" width="16.33203125" customWidth="1"/>
    <col min="18" max="18" width="8.88671875" customWidth="1"/>
    <col min="19" max="19" width="14" customWidth="1"/>
    <col min="20" max="20" width="8.88671875" customWidth="1"/>
    <col min="21" max="21" width="17.33203125" customWidth="1"/>
    <col min="22" max="27" width="8.88671875" customWidth="1"/>
  </cols>
  <sheetData>
    <row r="1" spans="1:26" ht="20.399999999999999" thickBot="1" x14ac:dyDescent="0.45">
      <c r="A1" s="82" t="s">
        <v>0</v>
      </c>
      <c r="B1" s="83"/>
      <c r="D1" s="84" t="s">
        <v>59</v>
      </c>
      <c r="E1" s="85"/>
      <c r="F1" s="85"/>
      <c r="G1" s="85"/>
      <c r="H1" s="85"/>
      <c r="I1" s="85"/>
      <c r="J1" s="80" t="s">
        <v>68</v>
      </c>
      <c r="K1" s="80"/>
      <c r="L1" s="80"/>
      <c r="M1" s="81"/>
      <c r="O1" s="3" t="s">
        <v>1</v>
      </c>
      <c r="Q1" s="1" t="s">
        <v>54</v>
      </c>
      <c r="S1" s="1" t="s">
        <v>46</v>
      </c>
      <c r="U1" s="1" t="s">
        <v>51</v>
      </c>
      <c r="X1" s="1" t="s">
        <v>58</v>
      </c>
      <c r="Z1" s="1" t="s">
        <v>80</v>
      </c>
    </row>
    <row r="2" spans="1:26" x14ac:dyDescent="0.3">
      <c r="A2" s="41" t="s">
        <v>2</v>
      </c>
      <c r="B2" s="42">
        <v>80</v>
      </c>
      <c r="D2" s="76" t="s">
        <v>72</v>
      </c>
      <c r="E2" s="77"/>
      <c r="F2" s="77"/>
      <c r="G2" s="77"/>
      <c r="H2" s="77"/>
      <c r="I2" s="77"/>
      <c r="J2" s="86" t="s">
        <v>73</v>
      </c>
      <c r="K2" s="86"/>
      <c r="L2" s="86"/>
      <c r="M2" s="87"/>
      <c r="O2" s="4" t="s">
        <v>3</v>
      </c>
      <c r="P2" s="4"/>
      <c r="Q2" t="s">
        <v>4</v>
      </c>
      <c r="S2" s="11">
        <v>0.25</v>
      </c>
      <c r="U2" t="s">
        <v>52</v>
      </c>
      <c r="X2">
        <v>1</v>
      </c>
      <c r="Z2" t="s">
        <v>81</v>
      </c>
    </row>
    <row r="3" spans="1:26" x14ac:dyDescent="0.3">
      <c r="A3" s="43" t="s">
        <v>5</v>
      </c>
      <c r="B3" s="44">
        <v>44067</v>
      </c>
      <c r="D3" s="76" t="s">
        <v>76</v>
      </c>
      <c r="E3" s="77"/>
      <c r="F3" s="77"/>
      <c r="G3" s="77"/>
      <c r="H3" s="77"/>
      <c r="I3" s="77"/>
      <c r="J3" s="88" t="s">
        <v>74</v>
      </c>
      <c r="K3" s="88"/>
      <c r="L3" s="88"/>
      <c r="M3" s="89"/>
      <c r="O3" s="4" t="s">
        <v>6</v>
      </c>
      <c r="P3" s="4"/>
      <c r="Q3" t="s">
        <v>13</v>
      </c>
      <c r="S3" s="11">
        <v>0.5</v>
      </c>
      <c r="U3" t="s">
        <v>53</v>
      </c>
      <c r="X3">
        <v>2</v>
      </c>
      <c r="Z3" t="s">
        <v>82</v>
      </c>
    </row>
    <row r="4" spans="1:26" x14ac:dyDescent="0.3">
      <c r="A4" s="43" t="s">
        <v>8</v>
      </c>
      <c r="B4" s="44">
        <v>44176</v>
      </c>
      <c r="D4" s="76" t="s">
        <v>63</v>
      </c>
      <c r="E4" s="77"/>
      <c r="F4" s="77"/>
      <c r="G4" s="77"/>
      <c r="H4" s="77"/>
      <c r="I4" s="77"/>
      <c r="J4" s="88" t="s">
        <v>87</v>
      </c>
      <c r="K4" s="88"/>
      <c r="L4" s="88"/>
      <c r="M4" s="89"/>
      <c r="O4" s="4" t="s">
        <v>9</v>
      </c>
      <c r="P4" s="4"/>
      <c r="Q4" t="s">
        <v>7</v>
      </c>
      <c r="S4" s="11">
        <v>1</v>
      </c>
      <c r="U4" t="s">
        <v>55</v>
      </c>
      <c r="X4">
        <v>3</v>
      </c>
    </row>
    <row r="5" spans="1:26" x14ac:dyDescent="0.3">
      <c r="A5" s="43" t="s">
        <v>11</v>
      </c>
      <c r="B5" s="45" t="s">
        <v>4</v>
      </c>
      <c r="D5" s="76" t="s">
        <v>64</v>
      </c>
      <c r="E5" s="77"/>
      <c r="F5" s="77"/>
      <c r="G5" s="77"/>
      <c r="H5" s="77"/>
      <c r="I5" s="77"/>
      <c r="J5" s="88" t="s">
        <v>75</v>
      </c>
      <c r="K5" s="88"/>
      <c r="L5" s="88"/>
      <c r="M5" s="89"/>
      <c r="O5" s="4" t="s">
        <v>12</v>
      </c>
      <c r="P5" s="4"/>
      <c r="Q5" t="s">
        <v>10</v>
      </c>
      <c r="U5" t="s">
        <v>13</v>
      </c>
    </row>
    <row r="6" spans="1:26" x14ac:dyDescent="0.3">
      <c r="A6" s="43" t="s">
        <v>80</v>
      </c>
      <c r="B6" s="45" t="s">
        <v>81</v>
      </c>
      <c r="D6" s="76" t="s">
        <v>69</v>
      </c>
      <c r="E6" s="77"/>
      <c r="F6" s="77"/>
      <c r="G6" s="77"/>
      <c r="H6" s="77"/>
      <c r="I6" s="77"/>
      <c r="J6" s="68" t="s">
        <v>79</v>
      </c>
      <c r="K6" s="68"/>
      <c r="L6" s="68"/>
      <c r="M6" s="69"/>
      <c r="O6" s="4" t="s">
        <v>14</v>
      </c>
      <c r="P6" s="4"/>
      <c r="Q6" t="s">
        <v>55</v>
      </c>
      <c r="U6" t="s">
        <v>4</v>
      </c>
    </row>
    <row r="7" spans="1:26" x14ac:dyDescent="0.3">
      <c r="A7" s="43" t="s">
        <v>51</v>
      </c>
      <c r="B7" s="45" t="s">
        <v>52</v>
      </c>
      <c r="D7" s="76" t="s">
        <v>70</v>
      </c>
      <c r="E7" s="77"/>
      <c r="F7" s="77"/>
      <c r="G7" s="77"/>
      <c r="H7" s="77"/>
      <c r="I7" s="77"/>
      <c r="J7" s="68" t="s">
        <v>88</v>
      </c>
      <c r="K7" s="68"/>
      <c r="L7" s="68"/>
      <c r="M7" s="69"/>
      <c r="O7" s="4" t="s">
        <v>16</v>
      </c>
      <c r="P7" s="4"/>
      <c r="Q7" t="s">
        <v>91</v>
      </c>
    </row>
    <row r="8" spans="1:26" x14ac:dyDescent="0.3">
      <c r="A8" s="43" t="s">
        <v>57</v>
      </c>
      <c r="B8" s="45">
        <v>3</v>
      </c>
      <c r="D8" s="56" t="s">
        <v>77</v>
      </c>
      <c r="E8" s="55"/>
      <c r="F8" s="55"/>
      <c r="G8" s="55"/>
      <c r="H8" s="54"/>
      <c r="I8" s="54"/>
      <c r="J8" s="68"/>
      <c r="K8" s="68"/>
      <c r="L8" s="68"/>
      <c r="M8" s="69"/>
      <c r="O8" s="4" t="s">
        <v>18</v>
      </c>
      <c r="P8" s="4"/>
    </row>
    <row r="9" spans="1:26" x14ac:dyDescent="0.3">
      <c r="A9" s="43" t="s">
        <v>56</v>
      </c>
      <c r="B9" s="45" t="s">
        <v>4</v>
      </c>
      <c r="D9" s="76"/>
      <c r="E9" s="77"/>
      <c r="F9" s="77"/>
      <c r="G9" s="77"/>
      <c r="H9" s="77"/>
      <c r="I9" s="77"/>
      <c r="J9" s="61"/>
      <c r="K9" s="62"/>
      <c r="L9" s="62"/>
      <c r="M9" s="63"/>
      <c r="O9" s="4" t="s">
        <v>71</v>
      </c>
      <c r="P9" s="4"/>
    </row>
    <row r="10" spans="1:26" ht="15" thickBot="1" x14ac:dyDescent="0.35">
      <c r="A10" s="43"/>
      <c r="B10" s="45"/>
      <c r="D10" s="57"/>
      <c r="E10" s="58"/>
      <c r="F10" s="58"/>
      <c r="G10" s="59"/>
      <c r="H10" s="60"/>
      <c r="I10" s="60"/>
      <c r="J10" s="64"/>
      <c r="K10" s="65"/>
      <c r="L10" s="65"/>
      <c r="M10" s="66"/>
      <c r="O10" s="4"/>
      <c r="P10"/>
    </row>
    <row r="11" spans="1:26" ht="17.399999999999999" x14ac:dyDescent="0.35">
      <c r="A11" s="71" t="s">
        <v>90</v>
      </c>
      <c r="B11" s="72" t="s">
        <v>89</v>
      </c>
      <c r="E11" s="4"/>
      <c r="F11" s="4"/>
      <c r="O11" s="4"/>
      <c r="P11"/>
    </row>
    <row r="12" spans="1:26" x14ac:dyDescent="0.3">
      <c r="A12" s="43" t="s">
        <v>15</v>
      </c>
      <c r="B12" s="44">
        <v>44081</v>
      </c>
      <c r="O12" s="4"/>
      <c r="P12" s="4"/>
    </row>
    <row r="13" spans="1:26" x14ac:dyDescent="0.3">
      <c r="A13" s="43" t="s">
        <v>17</v>
      </c>
      <c r="B13" s="44">
        <v>44106</v>
      </c>
      <c r="O13" s="4"/>
      <c r="P13" s="4"/>
    </row>
    <row r="14" spans="1:26" x14ac:dyDescent="0.3">
      <c r="A14" s="43" t="s">
        <v>19</v>
      </c>
      <c r="B14" s="44">
        <v>44146</v>
      </c>
      <c r="O14" s="4"/>
      <c r="P14" s="4"/>
    </row>
    <row r="15" spans="1:26" x14ac:dyDescent="0.3">
      <c r="A15" s="43" t="s">
        <v>20</v>
      </c>
      <c r="B15" s="46">
        <v>44160</v>
      </c>
      <c r="O15" s="4"/>
      <c r="P15" s="4"/>
    </row>
    <row r="16" spans="1:26" x14ac:dyDescent="0.3">
      <c r="A16" s="43" t="s">
        <v>25</v>
      </c>
      <c r="B16" s="46">
        <v>44161</v>
      </c>
      <c r="O16" s="4"/>
      <c r="P16" s="4"/>
    </row>
    <row r="17" spans="1:16" x14ac:dyDescent="0.3">
      <c r="A17" s="43" t="s">
        <v>26</v>
      </c>
      <c r="B17" s="46">
        <v>44162</v>
      </c>
      <c r="O17" s="4"/>
      <c r="P17" s="5"/>
    </row>
    <row r="18" spans="1:16" x14ac:dyDescent="0.3">
      <c r="A18" s="43" t="s">
        <v>35</v>
      </c>
      <c r="B18" s="44">
        <v>44190</v>
      </c>
      <c r="D18" t="s">
        <v>21</v>
      </c>
      <c r="E18" t="s">
        <v>22</v>
      </c>
      <c r="F18" t="s">
        <v>23</v>
      </c>
      <c r="G18" t="s">
        <v>24</v>
      </c>
      <c r="H18" t="s">
        <v>92</v>
      </c>
      <c r="I18" t="s">
        <v>93</v>
      </c>
      <c r="J18" t="s">
        <v>94</v>
      </c>
      <c r="K18" t="s">
        <v>95</v>
      </c>
      <c r="L18" t="s">
        <v>96</v>
      </c>
      <c r="M18" t="s">
        <v>97</v>
      </c>
      <c r="O18" s="4"/>
      <c r="P18" s="5"/>
    </row>
    <row r="19" spans="1:16" x14ac:dyDescent="0.3">
      <c r="A19" s="43" t="s">
        <v>36</v>
      </c>
      <c r="B19" s="44">
        <v>44197</v>
      </c>
      <c r="D19" t="s">
        <v>119</v>
      </c>
      <c r="E19" t="s">
        <v>120</v>
      </c>
      <c r="F19">
        <v>0</v>
      </c>
      <c r="G19" t="s">
        <v>121</v>
      </c>
      <c r="O19" s="4"/>
      <c r="P19" s="4"/>
    </row>
    <row r="20" spans="1:16" x14ac:dyDescent="0.3">
      <c r="A20" s="43" t="s">
        <v>27</v>
      </c>
      <c r="B20" s="44">
        <v>44214</v>
      </c>
      <c r="D20" t="s">
        <v>122</v>
      </c>
      <c r="E20" t="s">
        <v>123</v>
      </c>
      <c r="F20">
        <v>0</v>
      </c>
      <c r="G20" t="s">
        <v>121</v>
      </c>
      <c r="O20" s="4"/>
      <c r="P20" s="4"/>
    </row>
    <row r="21" spans="1:16" x14ac:dyDescent="0.3">
      <c r="A21" s="43" t="s">
        <v>28</v>
      </c>
      <c r="B21" s="46">
        <v>44263</v>
      </c>
      <c r="D21" t="s">
        <v>124</v>
      </c>
      <c r="E21" t="s">
        <v>125</v>
      </c>
      <c r="F21">
        <v>0</v>
      </c>
      <c r="G21" t="s">
        <v>121</v>
      </c>
      <c r="O21" s="4"/>
      <c r="P21" s="4"/>
    </row>
    <row r="22" spans="1:16" x14ac:dyDescent="0.3">
      <c r="A22" s="43" t="s">
        <v>29</v>
      </c>
      <c r="B22" s="46">
        <v>44264</v>
      </c>
      <c r="D22" t="s">
        <v>178</v>
      </c>
      <c r="E22" t="s">
        <v>179</v>
      </c>
      <c r="F22">
        <v>0</v>
      </c>
      <c r="G22" t="s">
        <v>180</v>
      </c>
      <c r="O22" s="4"/>
      <c r="P22" s="4"/>
    </row>
    <row r="23" spans="1:16" x14ac:dyDescent="0.3">
      <c r="A23" s="43" t="s">
        <v>30</v>
      </c>
      <c r="B23" s="46">
        <v>44265</v>
      </c>
      <c r="D23" t="s">
        <v>217</v>
      </c>
      <c r="E23" t="s">
        <v>218</v>
      </c>
      <c r="F23">
        <v>0</v>
      </c>
      <c r="G23" t="s">
        <v>219</v>
      </c>
      <c r="O23" s="4"/>
      <c r="P23" s="4"/>
    </row>
    <row r="24" spans="1:16" x14ac:dyDescent="0.3">
      <c r="A24" s="43" t="s">
        <v>31</v>
      </c>
      <c r="B24" s="46">
        <v>44266</v>
      </c>
      <c r="D24" t="s">
        <v>98</v>
      </c>
      <c r="E24" t="s">
        <v>99</v>
      </c>
      <c r="F24">
        <v>1</v>
      </c>
      <c r="G24" t="s">
        <v>100</v>
      </c>
      <c r="O24" s="4"/>
      <c r="P24" s="4"/>
    </row>
    <row r="25" spans="1:16" x14ac:dyDescent="0.3">
      <c r="A25" s="43" t="s">
        <v>32</v>
      </c>
      <c r="B25" s="46">
        <v>44267</v>
      </c>
      <c r="D25" t="s">
        <v>101</v>
      </c>
      <c r="E25" t="s">
        <v>102</v>
      </c>
      <c r="F25">
        <v>1</v>
      </c>
      <c r="G25" t="s">
        <v>100</v>
      </c>
      <c r="O25" s="4"/>
      <c r="P25" s="4"/>
    </row>
    <row r="26" spans="1:16" x14ac:dyDescent="0.3">
      <c r="A26" s="43" t="s">
        <v>33</v>
      </c>
      <c r="B26" s="44">
        <v>44347</v>
      </c>
      <c r="D26" t="s">
        <v>103</v>
      </c>
      <c r="E26" t="s">
        <v>104</v>
      </c>
      <c r="F26">
        <v>1</v>
      </c>
      <c r="G26" t="s">
        <v>100</v>
      </c>
      <c r="O26" s="5"/>
      <c r="P26" s="5"/>
    </row>
    <row r="27" spans="1:16" ht="15" thickBot="1" x14ac:dyDescent="0.35">
      <c r="A27" s="47" t="s">
        <v>34</v>
      </c>
      <c r="B27" s="48">
        <v>44381</v>
      </c>
      <c r="D27" t="s">
        <v>126</v>
      </c>
      <c r="E27" t="s">
        <v>127</v>
      </c>
      <c r="F27">
        <v>1</v>
      </c>
      <c r="G27" t="s">
        <v>121</v>
      </c>
    </row>
    <row r="28" spans="1:16" ht="15" thickBot="1" x14ac:dyDescent="0.35">
      <c r="D28" t="s">
        <v>139</v>
      </c>
      <c r="E28" t="s">
        <v>140</v>
      </c>
      <c r="F28">
        <v>1</v>
      </c>
      <c r="G28" t="s">
        <v>141</v>
      </c>
    </row>
    <row r="29" spans="1:16" x14ac:dyDescent="0.3">
      <c r="A29" s="78" t="s">
        <v>65</v>
      </c>
      <c r="B29" s="79"/>
      <c r="D29" t="s">
        <v>142</v>
      </c>
      <c r="E29" t="s">
        <v>143</v>
      </c>
      <c r="F29">
        <v>1</v>
      </c>
      <c r="G29" t="s">
        <v>141</v>
      </c>
    </row>
    <row r="30" spans="1:16" x14ac:dyDescent="0.3">
      <c r="A30" s="49" t="s">
        <v>66</v>
      </c>
      <c r="B30" s="50"/>
      <c r="D30" t="s">
        <v>144</v>
      </c>
      <c r="E30" t="s">
        <v>145</v>
      </c>
      <c r="F30">
        <v>1</v>
      </c>
      <c r="G30" t="s">
        <v>141</v>
      </c>
    </row>
    <row r="31" spans="1:16" x14ac:dyDescent="0.3">
      <c r="A31" s="51" t="s">
        <v>67</v>
      </c>
      <c r="B31" s="50"/>
      <c r="D31" t="s">
        <v>146</v>
      </c>
      <c r="E31" t="s">
        <v>147</v>
      </c>
      <c r="F31">
        <v>1</v>
      </c>
      <c r="G31" t="s">
        <v>141</v>
      </c>
    </row>
    <row r="32" spans="1:16" ht="15" thickBot="1" x14ac:dyDescent="0.35">
      <c r="A32" s="52" t="s">
        <v>334</v>
      </c>
      <c r="B32" s="53"/>
      <c r="D32" t="s">
        <v>148</v>
      </c>
      <c r="E32" t="s">
        <v>149</v>
      </c>
      <c r="F32">
        <v>1</v>
      </c>
      <c r="G32" t="s">
        <v>141</v>
      </c>
    </row>
    <row r="33" spans="4:7" x14ac:dyDescent="0.3">
      <c r="D33" t="s">
        <v>138</v>
      </c>
      <c r="E33" t="s">
        <v>150</v>
      </c>
      <c r="F33">
        <v>1</v>
      </c>
      <c r="G33" t="s">
        <v>141</v>
      </c>
    </row>
    <row r="34" spans="4:7" x14ac:dyDescent="0.3">
      <c r="D34" t="s">
        <v>159</v>
      </c>
      <c r="E34" t="s">
        <v>160</v>
      </c>
      <c r="F34">
        <v>1</v>
      </c>
      <c r="G34" t="s">
        <v>161</v>
      </c>
    </row>
    <row r="35" spans="4:7" x14ac:dyDescent="0.3">
      <c r="D35" t="s">
        <v>162</v>
      </c>
      <c r="E35" t="s">
        <v>135</v>
      </c>
      <c r="F35">
        <v>1</v>
      </c>
      <c r="G35" t="s">
        <v>161</v>
      </c>
    </row>
    <row r="36" spans="4:7" x14ac:dyDescent="0.3">
      <c r="D36" t="s">
        <v>181</v>
      </c>
      <c r="E36" t="s">
        <v>182</v>
      </c>
      <c r="F36">
        <v>1</v>
      </c>
      <c r="G36" t="s">
        <v>180</v>
      </c>
    </row>
    <row r="37" spans="4:7" x14ac:dyDescent="0.3">
      <c r="D37" t="s">
        <v>199</v>
      </c>
      <c r="E37" t="s">
        <v>200</v>
      </c>
      <c r="F37">
        <v>1</v>
      </c>
      <c r="G37" t="s">
        <v>201</v>
      </c>
    </row>
    <row r="38" spans="4:7" x14ac:dyDescent="0.3">
      <c r="D38" t="s">
        <v>202</v>
      </c>
      <c r="E38" t="s">
        <v>203</v>
      </c>
      <c r="F38">
        <v>1</v>
      </c>
      <c r="G38" t="s">
        <v>201</v>
      </c>
    </row>
    <row r="39" spans="4:7" x14ac:dyDescent="0.3">
      <c r="D39" t="s">
        <v>204</v>
      </c>
      <c r="E39" t="s">
        <v>133</v>
      </c>
      <c r="F39">
        <v>1</v>
      </c>
      <c r="G39" t="s">
        <v>201</v>
      </c>
    </row>
    <row r="40" spans="4:7" x14ac:dyDescent="0.3">
      <c r="D40" t="s">
        <v>220</v>
      </c>
      <c r="E40" t="s">
        <v>221</v>
      </c>
      <c r="F40">
        <v>1</v>
      </c>
      <c r="G40" t="s">
        <v>219</v>
      </c>
    </row>
    <row r="41" spans="4:7" x14ac:dyDescent="0.3">
      <c r="D41" t="s">
        <v>222</v>
      </c>
      <c r="E41" t="s">
        <v>223</v>
      </c>
      <c r="F41">
        <v>1</v>
      </c>
      <c r="G41" t="s">
        <v>219</v>
      </c>
    </row>
    <row r="42" spans="4:7" x14ac:dyDescent="0.3">
      <c r="D42" t="s">
        <v>224</v>
      </c>
      <c r="E42" t="s">
        <v>102</v>
      </c>
      <c r="F42">
        <v>1</v>
      </c>
      <c r="G42" t="s">
        <v>219</v>
      </c>
    </row>
    <row r="43" spans="4:7" x14ac:dyDescent="0.3">
      <c r="D43" t="s">
        <v>225</v>
      </c>
      <c r="E43" t="s">
        <v>226</v>
      </c>
      <c r="F43">
        <v>1</v>
      </c>
      <c r="G43" t="s">
        <v>219</v>
      </c>
    </row>
    <row r="44" spans="4:7" x14ac:dyDescent="0.3">
      <c r="D44" t="s">
        <v>237</v>
      </c>
      <c r="E44" t="s">
        <v>238</v>
      </c>
      <c r="F44">
        <v>1</v>
      </c>
      <c r="G44" t="s">
        <v>239</v>
      </c>
    </row>
    <row r="45" spans="4:7" x14ac:dyDescent="0.3">
      <c r="D45" t="s">
        <v>205</v>
      </c>
      <c r="E45" t="s">
        <v>240</v>
      </c>
      <c r="F45">
        <v>1</v>
      </c>
      <c r="G45" t="s">
        <v>239</v>
      </c>
    </row>
    <row r="46" spans="4:7" x14ac:dyDescent="0.3">
      <c r="D46" t="s">
        <v>241</v>
      </c>
      <c r="E46" t="s">
        <v>242</v>
      </c>
      <c r="F46">
        <v>1</v>
      </c>
      <c r="G46" t="s">
        <v>239</v>
      </c>
    </row>
    <row r="47" spans="4:7" x14ac:dyDescent="0.3">
      <c r="D47" t="s">
        <v>243</v>
      </c>
      <c r="E47" t="s">
        <v>236</v>
      </c>
      <c r="F47">
        <v>1</v>
      </c>
      <c r="G47" t="s">
        <v>239</v>
      </c>
    </row>
    <row r="48" spans="4:7" x14ac:dyDescent="0.3">
      <c r="D48" t="s">
        <v>244</v>
      </c>
      <c r="E48" t="s">
        <v>223</v>
      </c>
      <c r="F48">
        <v>1</v>
      </c>
      <c r="G48" t="s">
        <v>239</v>
      </c>
    </row>
    <row r="49" spans="4:7" x14ac:dyDescent="0.3">
      <c r="D49" t="s">
        <v>128</v>
      </c>
      <c r="E49" t="s">
        <v>129</v>
      </c>
      <c r="F49">
        <v>1.5</v>
      </c>
      <c r="G49" t="s">
        <v>121</v>
      </c>
    </row>
    <row r="50" spans="4:7" x14ac:dyDescent="0.3">
      <c r="D50" t="s">
        <v>130</v>
      </c>
      <c r="E50" t="s">
        <v>131</v>
      </c>
      <c r="F50">
        <v>1.5</v>
      </c>
      <c r="G50" t="s">
        <v>121</v>
      </c>
    </row>
    <row r="51" spans="4:7" x14ac:dyDescent="0.3">
      <c r="D51" t="s">
        <v>205</v>
      </c>
      <c r="E51" t="s">
        <v>206</v>
      </c>
      <c r="F51">
        <v>1.5</v>
      </c>
      <c r="G51" t="s">
        <v>201</v>
      </c>
    </row>
    <row r="52" spans="4:7" x14ac:dyDescent="0.3">
      <c r="D52" t="s">
        <v>105</v>
      </c>
      <c r="E52" t="s">
        <v>106</v>
      </c>
      <c r="F52">
        <v>2</v>
      </c>
      <c r="G52" t="s">
        <v>100</v>
      </c>
    </row>
    <row r="53" spans="4:7" x14ac:dyDescent="0.3">
      <c r="D53" t="s">
        <v>163</v>
      </c>
      <c r="E53" t="s">
        <v>164</v>
      </c>
      <c r="F53">
        <v>2</v>
      </c>
      <c r="G53" t="s">
        <v>161</v>
      </c>
    </row>
    <row r="54" spans="4:7" x14ac:dyDescent="0.3">
      <c r="D54" t="s">
        <v>165</v>
      </c>
      <c r="E54" t="s">
        <v>166</v>
      </c>
      <c r="F54">
        <v>2</v>
      </c>
      <c r="G54" t="s">
        <v>161</v>
      </c>
    </row>
    <row r="55" spans="4:7" x14ac:dyDescent="0.3">
      <c r="D55" t="s">
        <v>107</v>
      </c>
      <c r="E55" t="s">
        <v>108</v>
      </c>
      <c r="F55">
        <v>3</v>
      </c>
      <c r="G55" t="s">
        <v>100</v>
      </c>
    </row>
    <row r="56" spans="4:7" x14ac:dyDescent="0.3">
      <c r="D56" t="s">
        <v>109</v>
      </c>
      <c r="E56" t="s">
        <v>110</v>
      </c>
      <c r="F56">
        <v>3</v>
      </c>
      <c r="G56" t="s">
        <v>100</v>
      </c>
    </row>
    <row r="57" spans="4:7" x14ac:dyDescent="0.3">
      <c r="D57" t="s">
        <v>151</v>
      </c>
      <c r="E57" t="s">
        <v>152</v>
      </c>
      <c r="F57">
        <v>3</v>
      </c>
      <c r="G57" t="s">
        <v>141</v>
      </c>
    </row>
    <row r="58" spans="4:7" x14ac:dyDescent="0.3">
      <c r="D58" t="s">
        <v>167</v>
      </c>
      <c r="E58" t="s">
        <v>168</v>
      </c>
      <c r="F58">
        <v>3</v>
      </c>
      <c r="G58" t="s">
        <v>161</v>
      </c>
    </row>
    <row r="59" spans="4:7" x14ac:dyDescent="0.3">
      <c r="D59" t="s">
        <v>169</v>
      </c>
      <c r="E59" t="s">
        <v>170</v>
      </c>
      <c r="F59">
        <v>3</v>
      </c>
      <c r="G59" t="s">
        <v>161</v>
      </c>
    </row>
    <row r="60" spans="4:7" x14ac:dyDescent="0.3">
      <c r="D60" t="s">
        <v>183</v>
      </c>
      <c r="E60" t="s">
        <v>184</v>
      </c>
      <c r="F60">
        <v>3</v>
      </c>
      <c r="G60" t="s">
        <v>180</v>
      </c>
    </row>
    <row r="61" spans="4:7" x14ac:dyDescent="0.3">
      <c r="D61" t="s">
        <v>207</v>
      </c>
      <c r="E61" t="s">
        <v>208</v>
      </c>
      <c r="F61">
        <v>3</v>
      </c>
      <c r="G61" t="s">
        <v>201</v>
      </c>
    </row>
    <row r="62" spans="4:7" x14ac:dyDescent="0.3">
      <c r="D62" t="s">
        <v>209</v>
      </c>
      <c r="E62" t="s">
        <v>210</v>
      </c>
      <c r="F62">
        <v>3</v>
      </c>
      <c r="G62" t="s">
        <v>201</v>
      </c>
    </row>
    <row r="63" spans="4:7" x14ac:dyDescent="0.3">
      <c r="D63" t="s">
        <v>111</v>
      </c>
      <c r="E63" t="s">
        <v>112</v>
      </c>
      <c r="F63">
        <v>3.5</v>
      </c>
      <c r="G63" t="s">
        <v>100</v>
      </c>
    </row>
    <row r="64" spans="4:7" x14ac:dyDescent="0.3">
      <c r="D64" t="s">
        <v>171</v>
      </c>
      <c r="E64" t="s">
        <v>172</v>
      </c>
      <c r="F64">
        <v>3.5</v>
      </c>
      <c r="G64" t="s">
        <v>161</v>
      </c>
    </row>
    <row r="65" spans="4:7" x14ac:dyDescent="0.3">
      <c r="D65" t="s">
        <v>173</v>
      </c>
      <c r="E65" t="s">
        <v>114</v>
      </c>
      <c r="F65">
        <v>3.5</v>
      </c>
      <c r="G65" t="s">
        <v>161</v>
      </c>
    </row>
    <row r="66" spans="4:7" x14ac:dyDescent="0.3">
      <c r="D66" t="s">
        <v>153</v>
      </c>
      <c r="E66" t="s">
        <v>154</v>
      </c>
      <c r="F66">
        <v>4</v>
      </c>
      <c r="G66" t="s">
        <v>141</v>
      </c>
    </row>
    <row r="67" spans="4:7" x14ac:dyDescent="0.3">
      <c r="D67" t="s">
        <v>155</v>
      </c>
      <c r="E67" t="s">
        <v>156</v>
      </c>
      <c r="F67">
        <v>4</v>
      </c>
      <c r="G67" t="s">
        <v>141</v>
      </c>
    </row>
    <row r="68" spans="4:7" x14ac:dyDescent="0.3">
      <c r="D68" t="s">
        <v>185</v>
      </c>
      <c r="E68" t="s">
        <v>186</v>
      </c>
      <c r="F68">
        <v>4</v>
      </c>
      <c r="G68" t="s">
        <v>180</v>
      </c>
    </row>
    <row r="69" spans="4:7" x14ac:dyDescent="0.3">
      <c r="D69" t="s">
        <v>187</v>
      </c>
      <c r="E69" t="s">
        <v>188</v>
      </c>
      <c r="F69">
        <v>4</v>
      </c>
      <c r="G69" t="s">
        <v>180</v>
      </c>
    </row>
    <row r="70" spans="4:7" x14ac:dyDescent="0.3">
      <c r="D70" t="s">
        <v>227</v>
      </c>
      <c r="E70" t="s">
        <v>228</v>
      </c>
      <c r="F70">
        <v>4</v>
      </c>
      <c r="G70" t="s">
        <v>219</v>
      </c>
    </row>
    <row r="71" spans="4:7" x14ac:dyDescent="0.3">
      <c r="D71" t="s">
        <v>245</v>
      </c>
      <c r="E71" t="s">
        <v>246</v>
      </c>
      <c r="F71">
        <v>4</v>
      </c>
      <c r="G71" t="s">
        <v>239</v>
      </c>
    </row>
    <row r="72" spans="4:7" x14ac:dyDescent="0.3">
      <c r="D72" t="s">
        <v>247</v>
      </c>
      <c r="E72" t="s">
        <v>248</v>
      </c>
      <c r="F72">
        <v>4</v>
      </c>
      <c r="G72" t="s">
        <v>239</v>
      </c>
    </row>
    <row r="73" spans="4:7" x14ac:dyDescent="0.3">
      <c r="D73" t="s">
        <v>204</v>
      </c>
      <c r="E73" t="s">
        <v>249</v>
      </c>
      <c r="F73">
        <v>4</v>
      </c>
      <c r="G73" t="s">
        <v>239</v>
      </c>
    </row>
    <row r="74" spans="4:7" x14ac:dyDescent="0.3">
      <c r="D74" t="s">
        <v>113</v>
      </c>
      <c r="E74" t="s">
        <v>114</v>
      </c>
      <c r="F74">
        <v>5</v>
      </c>
      <c r="G74" t="s">
        <v>100</v>
      </c>
    </row>
    <row r="75" spans="4:7" x14ac:dyDescent="0.3">
      <c r="D75" t="s">
        <v>132</v>
      </c>
      <c r="E75" t="s">
        <v>133</v>
      </c>
      <c r="F75">
        <v>5</v>
      </c>
      <c r="G75" t="s">
        <v>121</v>
      </c>
    </row>
    <row r="76" spans="4:7" x14ac:dyDescent="0.3">
      <c r="D76" t="s">
        <v>134</v>
      </c>
      <c r="E76" t="s">
        <v>135</v>
      </c>
      <c r="F76">
        <v>5</v>
      </c>
      <c r="G76" t="s">
        <v>121</v>
      </c>
    </row>
    <row r="77" spans="4:7" x14ac:dyDescent="0.3">
      <c r="D77" t="s">
        <v>189</v>
      </c>
      <c r="E77" t="s">
        <v>190</v>
      </c>
      <c r="F77">
        <v>5</v>
      </c>
      <c r="G77" t="s">
        <v>180</v>
      </c>
    </row>
    <row r="78" spans="4:7" x14ac:dyDescent="0.3">
      <c r="D78" t="s">
        <v>229</v>
      </c>
      <c r="E78" t="s">
        <v>230</v>
      </c>
      <c r="F78">
        <v>5</v>
      </c>
      <c r="G78" t="s">
        <v>219</v>
      </c>
    </row>
    <row r="79" spans="4:7" x14ac:dyDescent="0.3">
      <c r="D79" t="s">
        <v>231</v>
      </c>
      <c r="E79" t="s">
        <v>232</v>
      </c>
      <c r="F79">
        <v>5</v>
      </c>
      <c r="G79" t="s">
        <v>219</v>
      </c>
    </row>
    <row r="80" spans="4:7" x14ac:dyDescent="0.3">
      <c r="D80" t="s">
        <v>136</v>
      </c>
      <c r="E80" t="s">
        <v>137</v>
      </c>
      <c r="F80">
        <v>6</v>
      </c>
      <c r="G80" t="s">
        <v>121</v>
      </c>
    </row>
    <row r="81" spans="4:7" x14ac:dyDescent="0.3">
      <c r="D81" t="s">
        <v>157</v>
      </c>
      <c r="E81" t="s">
        <v>158</v>
      </c>
      <c r="F81">
        <v>6</v>
      </c>
      <c r="G81" t="s">
        <v>141</v>
      </c>
    </row>
    <row r="82" spans="4:7" x14ac:dyDescent="0.3">
      <c r="D82" t="s">
        <v>191</v>
      </c>
      <c r="E82" t="s">
        <v>192</v>
      </c>
      <c r="F82">
        <v>6</v>
      </c>
      <c r="G82" t="s">
        <v>180</v>
      </c>
    </row>
    <row r="83" spans="4:7" x14ac:dyDescent="0.3">
      <c r="D83" t="s">
        <v>193</v>
      </c>
      <c r="E83" t="s">
        <v>194</v>
      </c>
      <c r="F83">
        <v>6</v>
      </c>
      <c r="G83" t="s">
        <v>180</v>
      </c>
    </row>
    <row r="84" spans="4:7" x14ac:dyDescent="0.3">
      <c r="D84" t="s">
        <v>211</v>
      </c>
      <c r="E84" t="s">
        <v>212</v>
      </c>
      <c r="F84">
        <v>6</v>
      </c>
      <c r="G84" t="s">
        <v>201</v>
      </c>
    </row>
    <row r="85" spans="4:7" x14ac:dyDescent="0.3">
      <c r="D85" t="s">
        <v>202</v>
      </c>
      <c r="E85" t="s">
        <v>213</v>
      </c>
      <c r="F85">
        <v>6</v>
      </c>
      <c r="G85" t="s">
        <v>201</v>
      </c>
    </row>
    <row r="86" spans="4:7" x14ac:dyDescent="0.3">
      <c r="D86" t="s">
        <v>233</v>
      </c>
      <c r="E86" t="s">
        <v>234</v>
      </c>
      <c r="F86">
        <v>6</v>
      </c>
      <c r="G86" t="s">
        <v>219</v>
      </c>
    </row>
    <row r="87" spans="4:7" x14ac:dyDescent="0.3">
      <c r="D87" t="s">
        <v>115</v>
      </c>
      <c r="E87" t="s">
        <v>116</v>
      </c>
      <c r="F87">
        <v>7</v>
      </c>
      <c r="G87" t="s">
        <v>100</v>
      </c>
    </row>
    <row r="88" spans="4:7" x14ac:dyDescent="0.3">
      <c r="D88" t="s">
        <v>250</v>
      </c>
      <c r="E88" t="s">
        <v>251</v>
      </c>
      <c r="F88">
        <v>7</v>
      </c>
      <c r="G88" t="s">
        <v>239</v>
      </c>
    </row>
    <row r="89" spans="4:7" x14ac:dyDescent="0.3">
      <c r="D89" t="s">
        <v>252</v>
      </c>
      <c r="E89" t="s">
        <v>253</v>
      </c>
      <c r="F89">
        <v>7</v>
      </c>
      <c r="G89" t="s">
        <v>239</v>
      </c>
    </row>
    <row r="90" spans="4:7" x14ac:dyDescent="0.3">
      <c r="D90" t="s">
        <v>117</v>
      </c>
      <c r="E90" t="s">
        <v>118</v>
      </c>
      <c r="F90">
        <v>8</v>
      </c>
      <c r="G90" t="s">
        <v>100</v>
      </c>
    </row>
    <row r="91" spans="4:7" x14ac:dyDescent="0.3">
      <c r="D91" t="s">
        <v>138</v>
      </c>
      <c r="E91" t="s">
        <v>102</v>
      </c>
      <c r="F91">
        <v>8</v>
      </c>
      <c r="G91" t="s">
        <v>121</v>
      </c>
    </row>
    <row r="92" spans="4:7" x14ac:dyDescent="0.3">
      <c r="D92" t="s">
        <v>174</v>
      </c>
      <c r="E92" t="s">
        <v>175</v>
      </c>
      <c r="F92">
        <v>8</v>
      </c>
      <c r="G92" t="s">
        <v>161</v>
      </c>
    </row>
    <row r="93" spans="4:7" x14ac:dyDescent="0.3">
      <c r="D93" t="s">
        <v>176</v>
      </c>
      <c r="E93" t="s">
        <v>177</v>
      </c>
      <c r="F93">
        <v>8</v>
      </c>
      <c r="G93" t="s">
        <v>161</v>
      </c>
    </row>
    <row r="94" spans="4:7" x14ac:dyDescent="0.3">
      <c r="D94" t="s">
        <v>235</v>
      </c>
      <c r="E94" t="s">
        <v>236</v>
      </c>
      <c r="F94">
        <v>8</v>
      </c>
      <c r="G94" t="s">
        <v>219</v>
      </c>
    </row>
    <row r="95" spans="4:7" x14ac:dyDescent="0.3">
      <c r="D95" t="s">
        <v>195</v>
      </c>
      <c r="E95" t="s">
        <v>196</v>
      </c>
      <c r="F95">
        <v>9</v>
      </c>
      <c r="G95" t="s">
        <v>180</v>
      </c>
    </row>
    <row r="96" spans="4:7" x14ac:dyDescent="0.3">
      <c r="D96" t="s">
        <v>197</v>
      </c>
      <c r="E96" t="s">
        <v>198</v>
      </c>
      <c r="F96">
        <v>11</v>
      </c>
      <c r="G96" t="s">
        <v>180</v>
      </c>
    </row>
    <row r="97" spans="4:10" x14ac:dyDescent="0.3">
      <c r="D97" t="s">
        <v>102</v>
      </c>
      <c r="E97" t="s">
        <v>214</v>
      </c>
      <c r="F97">
        <v>11</v>
      </c>
      <c r="G97" t="s">
        <v>201</v>
      </c>
    </row>
    <row r="98" spans="4:10" x14ac:dyDescent="0.3">
      <c r="D98" t="s">
        <v>215</v>
      </c>
      <c r="E98" t="s">
        <v>216</v>
      </c>
      <c r="F98">
        <v>12</v>
      </c>
      <c r="G98" t="s">
        <v>201</v>
      </c>
    </row>
    <row r="99" spans="4:10" x14ac:dyDescent="0.3">
      <c r="H99"/>
      <c r="I99"/>
      <c r="J99"/>
    </row>
    <row r="100" spans="4:10" x14ac:dyDescent="0.3">
      <c r="H100"/>
      <c r="I100"/>
      <c r="J100"/>
    </row>
    <row r="101" spans="4:10" x14ac:dyDescent="0.3">
      <c r="H101"/>
      <c r="I101"/>
      <c r="J101"/>
    </row>
    <row r="102" spans="4:10" x14ac:dyDescent="0.3">
      <c r="H102"/>
      <c r="I102"/>
      <c r="J102"/>
    </row>
    <row r="103" spans="4:10" x14ac:dyDescent="0.3">
      <c r="H103"/>
      <c r="I103"/>
      <c r="J103"/>
    </row>
    <row r="104" spans="4:10" x14ac:dyDescent="0.3">
      <c r="H104"/>
      <c r="I104"/>
      <c r="J104"/>
    </row>
    <row r="105" spans="4:10" x14ac:dyDescent="0.3">
      <c r="H105"/>
      <c r="I105"/>
      <c r="J105"/>
    </row>
    <row r="106" spans="4:10" x14ac:dyDescent="0.3">
      <c r="H106"/>
      <c r="I106"/>
      <c r="J106"/>
    </row>
    <row r="107" spans="4:10" x14ac:dyDescent="0.3">
      <c r="H107"/>
      <c r="I107"/>
      <c r="J107"/>
    </row>
    <row r="108" spans="4:10" x14ac:dyDescent="0.3">
      <c r="H108"/>
      <c r="I108"/>
      <c r="J108"/>
    </row>
    <row r="109" spans="4:10" x14ac:dyDescent="0.3">
      <c r="H109"/>
      <c r="I109"/>
      <c r="J109"/>
    </row>
    <row r="110" spans="4:10" x14ac:dyDescent="0.3">
      <c r="H110"/>
      <c r="I110"/>
      <c r="J110"/>
    </row>
    <row r="111" spans="4:10" x14ac:dyDescent="0.3">
      <c r="H111"/>
      <c r="I111"/>
      <c r="J111"/>
    </row>
    <row r="112" spans="4:10" x14ac:dyDescent="0.3">
      <c r="H112"/>
      <c r="I112"/>
      <c r="J112"/>
    </row>
    <row r="113" spans="8:10" x14ac:dyDescent="0.3">
      <c r="H113"/>
      <c r="I113"/>
      <c r="J113"/>
    </row>
    <row r="114" spans="8:10" x14ac:dyDescent="0.3">
      <c r="H114"/>
      <c r="I114"/>
      <c r="J114"/>
    </row>
    <row r="115" spans="8:10" x14ac:dyDescent="0.3">
      <c r="H115"/>
      <c r="I115"/>
      <c r="J115"/>
    </row>
    <row r="116" spans="8:10" x14ac:dyDescent="0.3">
      <c r="H116"/>
      <c r="I116"/>
      <c r="J116"/>
    </row>
    <row r="117" spans="8:10" x14ac:dyDescent="0.3">
      <c r="H117"/>
      <c r="I117"/>
      <c r="J117"/>
    </row>
    <row r="118" spans="8:10" x14ac:dyDescent="0.3">
      <c r="H118"/>
      <c r="I118"/>
      <c r="J118"/>
    </row>
    <row r="119" spans="8:10" x14ac:dyDescent="0.3">
      <c r="H119"/>
      <c r="I119"/>
      <c r="J119"/>
    </row>
    <row r="120" spans="8:10" x14ac:dyDescent="0.3">
      <c r="H120"/>
      <c r="I120"/>
      <c r="J120"/>
    </row>
    <row r="121" spans="8:10" x14ac:dyDescent="0.3">
      <c r="H121"/>
      <c r="I121"/>
      <c r="J121"/>
    </row>
    <row r="122" spans="8:10" x14ac:dyDescent="0.3">
      <c r="H122"/>
      <c r="I122"/>
      <c r="J122"/>
    </row>
    <row r="123" spans="8:10" x14ac:dyDescent="0.3">
      <c r="H123"/>
      <c r="I123"/>
      <c r="J123"/>
    </row>
    <row r="124" spans="8:10" x14ac:dyDescent="0.3">
      <c r="H124"/>
      <c r="I124"/>
      <c r="J124"/>
    </row>
    <row r="125" spans="8:10" x14ac:dyDescent="0.3">
      <c r="H125"/>
      <c r="I125"/>
      <c r="J125"/>
    </row>
    <row r="126" spans="8:10" x14ac:dyDescent="0.3">
      <c r="H126"/>
      <c r="I126"/>
      <c r="J126"/>
    </row>
    <row r="127" spans="8:10" x14ac:dyDescent="0.3">
      <c r="H127"/>
      <c r="I127"/>
      <c r="J127"/>
    </row>
    <row r="128" spans="8:10" x14ac:dyDescent="0.3">
      <c r="H128"/>
      <c r="I128"/>
      <c r="J128"/>
    </row>
    <row r="129" spans="8:10" x14ac:dyDescent="0.3">
      <c r="H129"/>
      <c r="I129"/>
      <c r="J129"/>
    </row>
    <row r="130" spans="8:10" x14ac:dyDescent="0.3">
      <c r="H130"/>
      <c r="I130"/>
      <c r="J130"/>
    </row>
    <row r="131" spans="8:10" x14ac:dyDescent="0.3">
      <c r="H131"/>
      <c r="I131"/>
      <c r="J131"/>
    </row>
    <row r="132" spans="8:10" x14ac:dyDescent="0.3">
      <c r="H132"/>
      <c r="I132"/>
      <c r="J132"/>
    </row>
    <row r="133" spans="8:10" x14ac:dyDescent="0.3">
      <c r="H133"/>
      <c r="I133"/>
      <c r="J133"/>
    </row>
    <row r="134" spans="8:10" x14ac:dyDescent="0.3">
      <c r="H134"/>
      <c r="I134"/>
      <c r="J134"/>
    </row>
    <row r="135" spans="8:10" x14ac:dyDescent="0.3">
      <c r="H135"/>
      <c r="I135"/>
      <c r="J135"/>
    </row>
    <row r="136" spans="8:10" x14ac:dyDescent="0.3">
      <c r="H136"/>
      <c r="I136"/>
      <c r="J136"/>
    </row>
    <row r="137" spans="8:10" x14ac:dyDescent="0.3">
      <c r="H137"/>
      <c r="I137"/>
      <c r="J137"/>
    </row>
    <row r="138" spans="8:10" x14ac:dyDescent="0.3">
      <c r="H138"/>
      <c r="I138"/>
      <c r="J138"/>
    </row>
    <row r="139" spans="8:10" x14ac:dyDescent="0.3">
      <c r="H139"/>
      <c r="I139"/>
      <c r="J139"/>
    </row>
    <row r="140" spans="8:10" x14ac:dyDescent="0.3">
      <c r="H140"/>
      <c r="I140"/>
      <c r="J140"/>
    </row>
    <row r="141" spans="8:10" x14ac:dyDescent="0.3">
      <c r="H141"/>
      <c r="I141"/>
      <c r="J141"/>
    </row>
    <row r="142" spans="8:10" x14ac:dyDescent="0.3">
      <c r="H142"/>
      <c r="I142"/>
      <c r="J142"/>
    </row>
    <row r="143" spans="8:10" x14ac:dyDescent="0.3">
      <c r="H143"/>
      <c r="I143"/>
      <c r="J143"/>
    </row>
    <row r="144" spans="8:10" x14ac:dyDescent="0.3">
      <c r="H144"/>
      <c r="I144"/>
      <c r="J144"/>
    </row>
    <row r="145" spans="8:10" x14ac:dyDescent="0.3">
      <c r="H145"/>
      <c r="I145"/>
      <c r="J145"/>
    </row>
    <row r="146" spans="8:10" x14ac:dyDescent="0.3">
      <c r="H146"/>
      <c r="I146"/>
      <c r="J146"/>
    </row>
    <row r="147" spans="8:10" x14ac:dyDescent="0.3">
      <c r="H147"/>
      <c r="I147"/>
      <c r="J147"/>
    </row>
    <row r="148" spans="8:10" x14ac:dyDescent="0.3">
      <c r="H148"/>
      <c r="I148"/>
      <c r="J148"/>
    </row>
    <row r="149" spans="8:10" x14ac:dyDescent="0.3">
      <c r="H149"/>
      <c r="I149"/>
      <c r="J149"/>
    </row>
    <row r="150" spans="8:10" x14ac:dyDescent="0.3">
      <c r="H150"/>
      <c r="I150"/>
      <c r="J150"/>
    </row>
    <row r="151" spans="8:10" x14ac:dyDescent="0.3">
      <c r="H151"/>
      <c r="I151"/>
      <c r="J151"/>
    </row>
    <row r="152" spans="8:10" x14ac:dyDescent="0.3">
      <c r="H152"/>
      <c r="I152"/>
      <c r="J152"/>
    </row>
    <row r="153" spans="8:10" x14ac:dyDescent="0.3">
      <c r="H153"/>
      <c r="I153"/>
      <c r="J153"/>
    </row>
    <row r="154" spans="8:10" x14ac:dyDescent="0.3">
      <c r="H154"/>
      <c r="I154"/>
      <c r="J154"/>
    </row>
    <row r="155" spans="8:10" x14ac:dyDescent="0.3">
      <c r="H155"/>
      <c r="I155"/>
      <c r="J155"/>
    </row>
    <row r="156" spans="8:10" x14ac:dyDescent="0.3">
      <c r="H156"/>
      <c r="I156"/>
      <c r="J156"/>
    </row>
    <row r="157" spans="8:10" x14ac:dyDescent="0.3">
      <c r="H157"/>
      <c r="I157"/>
      <c r="J157"/>
    </row>
    <row r="158" spans="8:10" x14ac:dyDescent="0.3">
      <c r="H158"/>
      <c r="I158"/>
      <c r="J158"/>
    </row>
    <row r="159" spans="8:10" x14ac:dyDescent="0.3">
      <c r="H159"/>
      <c r="I159"/>
      <c r="J159"/>
    </row>
    <row r="160" spans="8:10" x14ac:dyDescent="0.3">
      <c r="H160"/>
      <c r="I160"/>
      <c r="J160"/>
    </row>
    <row r="161" spans="8:10" x14ac:dyDescent="0.3">
      <c r="H161"/>
      <c r="I161"/>
      <c r="J161"/>
    </row>
    <row r="162" spans="8:10" x14ac:dyDescent="0.3">
      <c r="H162"/>
      <c r="I162"/>
      <c r="J162"/>
    </row>
    <row r="163" spans="8:10" x14ac:dyDescent="0.3">
      <c r="H163"/>
      <c r="I163"/>
      <c r="J163"/>
    </row>
    <row r="164" spans="8:10" x14ac:dyDescent="0.3">
      <c r="H164"/>
      <c r="I164"/>
      <c r="J164"/>
    </row>
    <row r="165" spans="8:10" x14ac:dyDescent="0.3">
      <c r="H165"/>
      <c r="I165"/>
      <c r="J165"/>
    </row>
    <row r="166" spans="8:10" x14ac:dyDescent="0.3">
      <c r="H166"/>
      <c r="I166"/>
      <c r="J166"/>
    </row>
    <row r="167" spans="8:10" x14ac:dyDescent="0.3">
      <c r="H167"/>
      <c r="I167"/>
      <c r="J167"/>
    </row>
    <row r="168" spans="8:10" x14ac:dyDescent="0.3">
      <c r="H168"/>
      <c r="I168"/>
      <c r="J168"/>
    </row>
    <row r="169" spans="8:10" x14ac:dyDescent="0.3">
      <c r="H169"/>
      <c r="I169"/>
      <c r="J169"/>
    </row>
    <row r="170" spans="8:10" x14ac:dyDescent="0.3">
      <c r="H170"/>
      <c r="I170"/>
      <c r="J170"/>
    </row>
    <row r="171" spans="8:10" x14ac:dyDescent="0.3">
      <c r="H171"/>
      <c r="I171"/>
      <c r="J171"/>
    </row>
    <row r="172" spans="8:10" x14ac:dyDescent="0.3">
      <c r="H172"/>
      <c r="I172"/>
      <c r="J172"/>
    </row>
    <row r="173" spans="8:10" x14ac:dyDescent="0.3">
      <c r="H173"/>
      <c r="I173"/>
      <c r="J173"/>
    </row>
    <row r="174" spans="8:10" x14ac:dyDescent="0.3">
      <c r="H174"/>
      <c r="I174"/>
      <c r="J174"/>
    </row>
    <row r="175" spans="8:10" x14ac:dyDescent="0.3">
      <c r="H175"/>
      <c r="I175"/>
      <c r="J175"/>
    </row>
    <row r="176" spans="8:10" x14ac:dyDescent="0.3">
      <c r="H176"/>
      <c r="I176"/>
      <c r="J176"/>
    </row>
    <row r="177" spans="8:10" x14ac:dyDescent="0.3">
      <c r="H177"/>
      <c r="I177"/>
      <c r="J177"/>
    </row>
    <row r="178" spans="8:10" x14ac:dyDescent="0.3">
      <c r="H178"/>
      <c r="I178"/>
      <c r="J178"/>
    </row>
    <row r="179" spans="8:10" x14ac:dyDescent="0.3">
      <c r="H179"/>
      <c r="I179"/>
      <c r="J179"/>
    </row>
    <row r="180" spans="8:10" x14ac:dyDescent="0.3">
      <c r="H180"/>
      <c r="I180"/>
      <c r="J180"/>
    </row>
    <row r="181" spans="8:10" x14ac:dyDescent="0.3">
      <c r="H181"/>
      <c r="I181"/>
      <c r="J181"/>
    </row>
    <row r="182" spans="8:10" x14ac:dyDescent="0.3">
      <c r="H182"/>
      <c r="I182"/>
      <c r="J182"/>
    </row>
    <row r="183" spans="8:10" x14ac:dyDescent="0.3">
      <c r="H183"/>
      <c r="I183"/>
      <c r="J183"/>
    </row>
    <row r="184" spans="8:10" x14ac:dyDescent="0.3">
      <c r="H184"/>
      <c r="I184"/>
      <c r="J184"/>
    </row>
    <row r="185" spans="8:10" x14ac:dyDescent="0.3">
      <c r="H185"/>
      <c r="I185"/>
      <c r="J185"/>
    </row>
    <row r="186" spans="8:10" x14ac:dyDescent="0.3">
      <c r="H186"/>
      <c r="I186"/>
      <c r="J186"/>
    </row>
    <row r="187" spans="8:10" x14ac:dyDescent="0.3">
      <c r="H187"/>
      <c r="I187"/>
      <c r="J187"/>
    </row>
    <row r="188" spans="8:10" x14ac:dyDescent="0.3">
      <c r="H188"/>
      <c r="I188"/>
      <c r="J188"/>
    </row>
    <row r="189" spans="8:10" x14ac:dyDescent="0.3">
      <c r="H189"/>
      <c r="I189"/>
      <c r="J189"/>
    </row>
    <row r="190" spans="8:10" x14ac:dyDescent="0.3">
      <c r="H190"/>
      <c r="I190"/>
      <c r="J190"/>
    </row>
    <row r="191" spans="8:10" x14ac:dyDescent="0.3">
      <c r="H191"/>
      <c r="I191"/>
      <c r="J191"/>
    </row>
    <row r="192" spans="8:10" x14ac:dyDescent="0.3">
      <c r="H192"/>
      <c r="I192"/>
      <c r="J192"/>
    </row>
    <row r="193" spans="8:10" x14ac:dyDescent="0.3">
      <c r="H193"/>
      <c r="I193"/>
      <c r="J193"/>
    </row>
    <row r="194" spans="8:10" x14ac:dyDescent="0.3">
      <c r="H194"/>
      <c r="I194"/>
      <c r="J194"/>
    </row>
    <row r="195" spans="8:10" x14ac:dyDescent="0.3">
      <c r="H195"/>
      <c r="I195"/>
      <c r="J195"/>
    </row>
    <row r="196" spans="8:10" x14ac:dyDescent="0.3">
      <c r="H196"/>
      <c r="I196"/>
      <c r="J196"/>
    </row>
    <row r="197" spans="8:10" x14ac:dyDescent="0.3">
      <c r="H197"/>
      <c r="I197"/>
      <c r="J197"/>
    </row>
    <row r="198" spans="8:10" x14ac:dyDescent="0.3">
      <c r="H198"/>
      <c r="I198"/>
      <c r="J198"/>
    </row>
    <row r="199" spans="8:10" x14ac:dyDescent="0.3">
      <c r="H199"/>
      <c r="I199"/>
      <c r="J199"/>
    </row>
    <row r="200" spans="8:10" x14ac:dyDescent="0.3">
      <c r="H200"/>
      <c r="I200"/>
      <c r="J200"/>
    </row>
    <row r="201" spans="8:10" x14ac:dyDescent="0.3">
      <c r="H201"/>
      <c r="I201"/>
      <c r="J201"/>
    </row>
    <row r="202" spans="8:10" x14ac:dyDescent="0.3">
      <c r="H202"/>
      <c r="I202"/>
      <c r="J202"/>
    </row>
    <row r="203" spans="8:10" x14ac:dyDescent="0.3">
      <c r="H203"/>
      <c r="I203"/>
      <c r="J203"/>
    </row>
    <row r="204" spans="8:10" x14ac:dyDescent="0.3">
      <c r="H204"/>
      <c r="I204"/>
      <c r="J204"/>
    </row>
    <row r="205" spans="8:10" x14ac:dyDescent="0.3">
      <c r="H205"/>
      <c r="I205"/>
      <c r="J205"/>
    </row>
    <row r="206" spans="8:10" x14ac:dyDescent="0.3">
      <c r="H206"/>
      <c r="I206"/>
      <c r="J206"/>
    </row>
    <row r="207" spans="8:10" x14ac:dyDescent="0.3">
      <c r="H207"/>
      <c r="I207"/>
      <c r="J207"/>
    </row>
    <row r="208" spans="8:10" x14ac:dyDescent="0.3">
      <c r="H208"/>
      <c r="I208"/>
      <c r="J208"/>
    </row>
    <row r="209" spans="8:10" x14ac:dyDescent="0.3">
      <c r="H209"/>
      <c r="I209"/>
      <c r="J209"/>
    </row>
    <row r="210" spans="8:10" x14ac:dyDescent="0.3">
      <c r="H210"/>
      <c r="I210"/>
      <c r="J210"/>
    </row>
    <row r="211" spans="8:10" x14ac:dyDescent="0.3">
      <c r="H211"/>
      <c r="I211"/>
      <c r="J211"/>
    </row>
    <row r="212" spans="8:10" x14ac:dyDescent="0.3">
      <c r="H212"/>
      <c r="I212"/>
      <c r="J212"/>
    </row>
    <row r="213" spans="8:10" x14ac:dyDescent="0.3">
      <c r="H213"/>
      <c r="I213"/>
      <c r="J213"/>
    </row>
    <row r="214" spans="8:10" x14ac:dyDescent="0.3">
      <c r="H214"/>
      <c r="I214"/>
      <c r="J214"/>
    </row>
    <row r="215" spans="8:10" x14ac:dyDescent="0.3">
      <c r="H215"/>
      <c r="I215"/>
      <c r="J215"/>
    </row>
    <row r="216" spans="8:10" x14ac:dyDescent="0.3">
      <c r="H216"/>
      <c r="I216"/>
      <c r="J216"/>
    </row>
    <row r="217" spans="8:10" x14ac:dyDescent="0.3">
      <c r="H217"/>
      <c r="I217"/>
      <c r="J217"/>
    </row>
    <row r="218" spans="8:10" x14ac:dyDescent="0.3">
      <c r="H218"/>
      <c r="I218"/>
      <c r="J218"/>
    </row>
    <row r="219" spans="8:10" x14ac:dyDescent="0.3">
      <c r="H219"/>
      <c r="I219"/>
      <c r="J219"/>
    </row>
    <row r="220" spans="8:10" x14ac:dyDescent="0.3">
      <c r="H220"/>
      <c r="I220"/>
      <c r="J220"/>
    </row>
    <row r="221" spans="8:10" x14ac:dyDescent="0.3">
      <c r="H221"/>
      <c r="I221"/>
      <c r="J221"/>
    </row>
    <row r="222" spans="8:10" x14ac:dyDescent="0.3">
      <c r="H222"/>
      <c r="I222"/>
      <c r="J222"/>
    </row>
    <row r="223" spans="8:10" x14ac:dyDescent="0.3">
      <c r="H223"/>
      <c r="I223"/>
      <c r="J223"/>
    </row>
    <row r="224" spans="8:10" x14ac:dyDescent="0.3">
      <c r="H224"/>
      <c r="I224"/>
      <c r="J224"/>
    </row>
    <row r="225" spans="8:10" x14ac:dyDescent="0.3">
      <c r="H225"/>
      <c r="I225"/>
      <c r="J225"/>
    </row>
    <row r="226" spans="8:10" x14ac:dyDescent="0.3">
      <c r="H226"/>
      <c r="I226"/>
      <c r="J226"/>
    </row>
    <row r="227" spans="8:10" x14ac:dyDescent="0.3">
      <c r="H227"/>
      <c r="I227"/>
      <c r="J227"/>
    </row>
    <row r="228" spans="8:10" x14ac:dyDescent="0.3">
      <c r="H228"/>
      <c r="I228"/>
      <c r="J228"/>
    </row>
    <row r="229" spans="8:10" x14ac:dyDescent="0.3">
      <c r="H229"/>
      <c r="I229"/>
      <c r="J229"/>
    </row>
    <row r="230" spans="8:10" x14ac:dyDescent="0.3">
      <c r="H230"/>
      <c r="I230"/>
      <c r="J230"/>
    </row>
    <row r="231" spans="8:10" x14ac:dyDescent="0.3">
      <c r="H231"/>
      <c r="I231"/>
      <c r="J231"/>
    </row>
    <row r="232" spans="8:10" x14ac:dyDescent="0.3">
      <c r="H232"/>
      <c r="I232"/>
      <c r="J232"/>
    </row>
    <row r="233" spans="8:10" x14ac:dyDescent="0.3">
      <c r="H233"/>
      <c r="I233"/>
      <c r="J233"/>
    </row>
    <row r="234" spans="8:10" x14ac:dyDescent="0.3">
      <c r="H234"/>
      <c r="I234"/>
      <c r="J234"/>
    </row>
    <row r="235" spans="8:10" x14ac:dyDescent="0.3">
      <c r="H235"/>
      <c r="I235"/>
      <c r="J235"/>
    </row>
    <row r="236" spans="8:10" x14ac:dyDescent="0.3">
      <c r="H236"/>
      <c r="I236"/>
      <c r="J236"/>
    </row>
    <row r="237" spans="8:10" x14ac:dyDescent="0.3">
      <c r="H237"/>
      <c r="I237"/>
      <c r="J237"/>
    </row>
    <row r="238" spans="8:10" x14ac:dyDescent="0.3">
      <c r="H238"/>
      <c r="I238"/>
      <c r="J238"/>
    </row>
    <row r="239" spans="8:10" x14ac:dyDescent="0.3">
      <c r="H239"/>
      <c r="I239"/>
      <c r="J239"/>
    </row>
    <row r="240" spans="8:10" x14ac:dyDescent="0.3">
      <c r="H240"/>
      <c r="I240"/>
      <c r="J240"/>
    </row>
    <row r="241" spans="8:10" x14ac:dyDescent="0.3">
      <c r="H241"/>
      <c r="I241"/>
      <c r="J241"/>
    </row>
    <row r="242" spans="8:10" x14ac:dyDescent="0.3">
      <c r="H242"/>
      <c r="I242"/>
      <c r="J242"/>
    </row>
    <row r="243" spans="8:10" x14ac:dyDescent="0.3">
      <c r="H243"/>
      <c r="I243"/>
      <c r="J243"/>
    </row>
    <row r="244" spans="8:10" x14ac:dyDescent="0.3">
      <c r="H244"/>
      <c r="I244"/>
      <c r="J244"/>
    </row>
    <row r="245" spans="8:10" x14ac:dyDescent="0.3">
      <c r="H245"/>
      <c r="I245"/>
      <c r="J245"/>
    </row>
    <row r="246" spans="8:10" x14ac:dyDescent="0.3">
      <c r="H246"/>
      <c r="I246"/>
      <c r="J246"/>
    </row>
    <row r="247" spans="8:10" x14ac:dyDescent="0.3">
      <c r="H247"/>
      <c r="I247"/>
      <c r="J247"/>
    </row>
    <row r="248" spans="8:10" x14ac:dyDescent="0.3">
      <c r="H248"/>
      <c r="I248"/>
      <c r="J248"/>
    </row>
    <row r="249" spans="8:10" x14ac:dyDescent="0.3">
      <c r="H249"/>
      <c r="I249"/>
      <c r="J249"/>
    </row>
    <row r="250" spans="8:10" x14ac:dyDescent="0.3">
      <c r="H250"/>
      <c r="I250"/>
      <c r="J250"/>
    </row>
    <row r="251" spans="8:10" x14ac:dyDescent="0.3">
      <c r="H251"/>
      <c r="I251"/>
      <c r="J251"/>
    </row>
    <row r="252" spans="8:10" x14ac:dyDescent="0.3">
      <c r="H252"/>
      <c r="I252"/>
      <c r="J252"/>
    </row>
    <row r="253" spans="8:10" x14ac:dyDescent="0.3">
      <c r="H253"/>
      <c r="I253"/>
      <c r="J253"/>
    </row>
    <row r="254" spans="8:10" x14ac:dyDescent="0.3">
      <c r="H254"/>
      <c r="I254"/>
      <c r="J254"/>
    </row>
    <row r="255" spans="8:10" x14ac:dyDescent="0.3">
      <c r="H255"/>
      <c r="I255"/>
      <c r="J255"/>
    </row>
    <row r="256" spans="8:10" x14ac:dyDescent="0.3">
      <c r="H256"/>
      <c r="I256"/>
      <c r="J256"/>
    </row>
    <row r="257" spans="8:10" x14ac:dyDescent="0.3">
      <c r="H257"/>
      <c r="I257"/>
      <c r="J257"/>
    </row>
    <row r="258" spans="8:10" x14ac:dyDescent="0.3">
      <c r="H258"/>
      <c r="I258"/>
      <c r="J258"/>
    </row>
    <row r="259" spans="8:10" x14ac:dyDescent="0.3">
      <c r="H259"/>
      <c r="I259"/>
      <c r="J259"/>
    </row>
    <row r="260" spans="8:10" x14ac:dyDescent="0.3">
      <c r="H260"/>
      <c r="I260"/>
      <c r="J260"/>
    </row>
    <row r="261" spans="8:10" x14ac:dyDescent="0.3">
      <c r="H261"/>
      <c r="I261"/>
      <c r="J261"/>
    </row>
    <row r="262" spans="8:10" x14ac:dyDescent="0.3">
      <c r="H262"/>
      <c r="I262"/>
      <c r="J262"/>
    </row>
    <row r="263" spans="8:10" x14ac:dyDescent="0.3">
      <c r="H263"/>
      <c r="I263"/>
      <c r="J263"/>
    </row>
    <row r="264" spans="8:10" x14ac:dyDescent="0.3">
      <c r="H264"/>
      <c r="I264"/>
      <c r="J264"/>
    </row>
    <row r="265" spans="8:10" x14ac:dyDescent="0.3">
      <c r="H265"/>
      <c r="I265"/>
      <c r="J265"/>
    </row>
    <row r="266" spans="8:10" x14ac:dyDescent="0.3">
      <c r="H266"/>
      <c r="I266"/>
      <c r="J266"/>
    </row>
    <row r="267" spans="8:10" x14ac:dyDescent="0.3">
      <c r="H267"/>
      <c r="I267"/>
      <c r="J267"/>
    </row>
    <row r="268" spans="8:10" x14ac:dyDescent="0.3">
      <c r="H268"/>
      <c r="I268"/>
      <c r="J268"/>
    </row>
    <row r="269" spans="8:10" x14ac:dyDescent="0.3">
      <c r="H269"/>
      <c r="I269"/>
      <c r="J269"/>
    </row>
    <row r="270" spans="8:10" x14ac:dyDescent="0.3">
      <c r="H270"/>
      <c r="I270"/>
      <c r="J270"/>
    </row>
    <row r="271" spans="8:10" x14ac:dyDescent="0.3">
      <c r="H271"/>
      <c r="I271"/>
      <c r="J271"/>
    </row>
    <row r="272" spans="8:10" x14ac:dyDescent="0.3">
      <c r="H272"/>
      <c r="I272"/>
      <c r="J272"/>
    </row>
    <row r="273" spans="8:10" x14ac:dyDescent="0.3">
      <c r="H273"/>
      <c r="I273"/>
      <c r="J273"/>
    </row>
    <row r="274" spans="8:10" x14ac:dyDescent="0.3">
      <c r="H274"/>
      <c r="I274"/>
      <c r="J274"/>
    </row>
    <row r="275" spans="8:10" x14ac:dyDescent="0.3">
      <c r="H275"/>
      <c r="I275"/>
      <c r="J275"/>
    </row>
    <row r="276" spans="8:10" x14ac:dyDescent="0.3">
      <c r="H276"/>
      <c r="I276"/>
      <c r="J276"/>
    </row>
    <row r="277" spans="8:10" x14ac:dyDescent="0.3">
      <c r="H277"/>
      <c r="I277"/>
      <c r="J277"/>
    </row>
    <row r="278" spans="8:10" x14ac:dyDescent="0.3">
      <c r="H278"/>
      <c r="I278"/>
      <c r="J278"/>
    </row>
    <row r="279" spans="8:10" x14ac:dyDescent="0.3">
      <c r="H279"/>
      <c r="I279"/>
      <c r="J279"/>
    </row>
    <row r="280" spans="8:10" x14ac:dyDescent="0.3">
      <c r="H280"/>
      <c r="I280"/>
      <c r="J280"/>
    </row>
    <row r="281" spans="8:10" x14ac:dyDescent="0.3">
      <c r="H281"/>
      <c r="I281"/>
      <c r="J281"/>
    </row>
    <row r="282" spans="8:10" x14ac:dyDescent="0.3">
      <c r="H282"/>
      <c r="I282"/>
      <c r="J282"/>
    </row>
    <row r="283" spans="8:10" x14ac:dyDescent="0.3">
      <c r="H283"/>
      <c r="I283"/>
      <c r="J283"/>
    </row>
    <row r="284" spans="8:10" x14ac:dyDescent="0.3">
      <c r="H284"/>
      <c r="I284"/>
      <c r="J284"/>
    </row>
    <row r="285" spans="8:10" x14ac:dyDescent="0.3">
      <c r="H285"/>
      <c r="I285"/>
      <c r="J285"/>
    </row>
    <row r="286" spans="8:10" x14ac:dyDescent="0.3">
      <c r="H286"/>
      <c r="I286"/>
      <c r="J286"/>
    </row>
    <row r="287" spans="8:10" x14ac:dyDescent="0.3">
      <c r="H287"/>
      <c r="I287"/>
      <c r="J287"/>
    </row>
    <row r="288" spans="8:10" x14ac:dyDescent="0.3">
      <c r="H288"/>
      <c r="I288"/>
      <c r="J288"/>
    </row>
    <row r="289" spans="8:10" x14ac:dyDescent="0.3">
      <c r="H289"/>
      <c r="I289"/>
      <c r="J289"/>
    </row>
    <row r="290" spans="8:10" x14ac:dyDescent="0.3">
      <c r="H290"/>
      <c r="I290"/>
      <c r="J290"/>
    </row>
    <row r="291" spans="8:10" x14ac:dyDescent="0.3">
      <c r="H291"/>
      <c r="I291"/>
      <c r="J291"/>
    </row>
    <row r="292" spans="8:10" x14ac:dyDescent="0.3">
      <c r="H292"/>
      <c r="I292"/>
      <c r="J292"/>
    </row>
    <row r="293" spans="8:10" x14ac:dyDescent="0.3">
      <c r="H293"/>
      <c r="I293"/>
      <c r="J293"/>
    </row>
    <row r="294" spans="8:10" x14ac:dyDescent="0.3">
      <c r="H294"/>
      <c r="I294"/>
      <c r="J294"/>
    </row>
    <row r="295" spans="8:10" x14ac:dyDescent="0.3">
      <c r="H295"/>
      <c r="I295"/>
      <c r="J295"/>
    </row>
    <row r="296" spans="8:10" x14ac:dyDescent="0.3">
      <c r="H296"/>
      <c r="I296"/>
      <c r="J296"/>
    </row>
    <row r="297" spans="8:10" x14ac:dyDescent="0.3">
      <c r="H297"/>
      <c r="I297"/>
      <c r="J297"/>
    </row>
    <row r="298" spans="8:10" x14ac:dyDescent="0.3">
      <c r="H298"/>
      <c r="I298"/>
      <c r="J298"/>
    </row>
    <row r="299" spans="8:10" x14ac:dyDescent="0.3">
      <c r="H299"/>
      <c r="I299"/>
      <c r="J299"/>
    </row>
    <row r="300" spans="8:10" x14ac:dyDescent="0.3">
      <c r="H300"/>
      <c r="I300"/>
      <c r="J300"/>
    </row>
    <row r="301" spans="8:10" x14ac:dyDescent="0.3">
      <c r="H301"/>
      <c r="I301"/>
      <c r="J301"/>
    </row>
    <row r="302" spans="8:10" x14ac:dyDescent="0.3">
      <c r="H302"/>
      <c r="I302"/>
      <c r="J302"/>
    </row>
    <row r="303" spans="8:10" x14ac:dyDescent="0.3">
      <c r="H303"/>
      <c r="I303"/>
      <c r="J303"/>
    </row>
    <row r="304" spans="8:10" x14ac:dyDescent="0.3">
      <c r="H304"/>
      <c r="I304"/>
      <c r="J304"/>
    </row>
    <row r="305" spans="8:10" x14ac:dyDescent="0.3">
      <c r="H305"/>
      <c r="I305"/>
      <c r="J305"/>
    </row>
    <row r="306" spans="8:10" x14ac:dyDescent="0.3">
      <c r="H306"/>
      <c r="I306"/>
      <c r="J306"/>
    </row>
    <row r="307" spans="8:10" x14ac:dyDescent="0.3">
      <c r="H307"/>
      <c r="I307"/>
      <c r="J307"/>
    </row>
    <row r="308" spans="8:10" x14ac:dyDescent="0.3">
      <c r="H308"/>
      <c r="I308"/>
      <c r="J308"/>
    </row>
    <row r="309" spans="8:10" x14ac:dyDescent="0.3">
      <c r="H309"/>
      <c r="I309"/>
      <c r="J309"/>
    </row>
    <row r="310" spans="8:10" x14ac:dyDescent="0.3">
      <c r="H310"/>
      <c r="I310"/>
      <c r="J310"/>
    </row>
    <row r="311" spans="8:10" x14ac:dyDescent="0.3">
      <c r="H311"/>
      <c r="I311"/>
      <c r="J311"/>
    </row>
    <row r="312" spans="8:10" x14ac:dyDescent="0.3">
      <c r="H312"/>
      <c r="I312"/>
      <c r="J312"/>
    </row>
    <row r="313" spans="8:10" x14ac:dyDescent="0.3">
      <c r="H313"/>
      <c r="I313"/>
      <c r="J313"/>
    </row>
    <row r="314" spans="8:10" x14ac:dyDescent="0.3">
      <c r="H314"/>
      <c r="I314"/>
      <c r="J314"/>
    </row>
    <row r="315" spans="8:10" x14ac:dyDescent="0.3">
      <c r="H315"/>
      <c r="I315"/>
      <c r="J315"/>
    </row>
    <row r="316" spans="8:10" x14ac:dyDescent="0.3">
      <c r="H316"/>
      <c r="I316"/>
      <c r="J316"/>
    </row>
    <row r="317" spans="8:10" x14ac:dyDescent="0.3">
      <c r="H317"/>
      <c r="I317"/>
      <c r="J317"/>
    </row>
    <row r="318" spans="8:10" x14ac:dyDescent="0.3">
      <c r="H318"/>
      <c r="I318"/>
      <c r="J318"/>
    </row>
    <row r="319" spans="8:10" x14ac:dyDescent="0.3">
      <c r="H319"/>
      <c r="I319"/>
      <c r="J319"/>
    </row>
    <row r="320" spans="8:10" x14ac:dyDescent="0.3">
      <c r="H320"/>
      <c r="I320"/>
      <c r="J320"/>
    </row>
    <row r="321" spans="8:10" x14ac:dyDescent="0.3">
      <c r="H321"/>
      <c r="I321"/>
      <c r="J321"/>
    </row>
    <row r="322" spans="8:10" x14ac:dyDescent="0.3">
      <c r="H322"/>
      <c r="I322"/>
      <c r="J322"/>
    </row>
    <row r="323" spans="8:10" x14ac:dyDescent="0.3">
      <c r="H323"/>
      <c r="I323"/>
      <c r="J323"/>
    </row>
    <row r="324" spans="8:10" x14ac:dyDescent="0.3">
      <c r="H324"/>
      <c r="I324"/>
      <c r="J324"/>
    </row>
    <row r="325" spans="8:10" x14ac:dyDescent="0.3">
      <c r="H325"/>
      <c r="I325"/>
      <c r="J325"/>
    </row>
    <row r="326" spans="8:10" x14ac:dyDescent="0.3">
      <c r="H326"/>
      <c r="I326"/>
      <c r="J326"/>
    </row>
    <row r="327" spans="8:10" x14ac:dyDescent="0.3">
      <c r="H327"/>
      <c r="I327"/>
      <c r="J327"/>
    </row>
    <row r="328" spans="8:10" x14ac:dyDescent="0.3">
      <c r="H328"/>
      <c r="I328"/>
      <c r="J328"/>
    </row>
    <row r="329" spans="8:10" x14ac:dyDescent="0.3">
      <c r="H329"/>
      <c r="I329"/>
      <c r="J329"/>
    </row>
    <row r="330" spans="8:10" x14ac:dyDescent="0.3">
      <c r="H330"/>
      <c r="I330"/>
      <c r="J330"/>
    </row>
    <row r="331" spans="8:10" x14ac:dyDescent="0.3">
      <c r="H331"/>
      <c r="I331"/>
      <c r="J331"/>
    </row>
    <row r="332" spans="8:10" x14ac:dyDescent="0.3">
      <c r="H332"/>
      <c r="I332"/>
      <c r="J332"/>
    </row>
    <row r="333" spans="8:10" x14ac:dyDescent="0.3">
      <c r="H333"/>
      <c r="I333"/>
      <c r="J333"/>
    </row>
    <row r="334" spans="8:10" x14ac:dyDescent="0.3">
      <c r="H334"/>
      <c r="I334"/>
      <c r="J334"/>
    </row>
    <row r="335" spans="8:10" x14ac:dyDescent="0.3">
      <c r="H335"/>
      <c r="I335"/>
      <c r="J335"/>
    </row>
    <row r="336" spans="8:10" x14ac:dyDescent="0.3">
      <c r="H336"/>
      <c r="I336"/>
      <c r="J336"/>
    </row>
    <row r="337" spans="8:10" x14ac:dyDescent="0.3">
      <c r="H337"/>
      <c r="I337"/>
      <c r="J337"/>
    </row>
    <row r="338" spans="8:10" x14ac:dyDescent="0.3">
      <c r="H338"/>
      <c r="I338"/>
      <c r="J338"/>
    </row>
    <row r="339" spans="8:10" x14ac:dyDescent="0.3">
      <c r="H339"/>
      <c r="I339"/>
      <c r="J339"/>
    </row>
    <row r="340" spans="8:10" x14ac:dyDescent="0.3">
      <c r="H340"/>
      <c r="I340"/>
      <c r="J340"/>
    </row>
    <row r="341" spans="8:10" x14ac:dyDescent="0.3">
      <c r="H341"/>
      <c r="I341"/>
      <c r="J341"/>
    </row>
    <row r="342" spans="8:10" x14ac:dyDescent="0.3">
      <c r="H342"/>
      <c r="I342"/>
      <c r="J342"/>
    </row>
    <row r="343" spans="8:10" x14ac:dyDescent="0.3">
      <c r="H343"/>
      <c r="I343"/>
      <c r="J343"/>
    </row>
    <row r="344" spans="8:10" x14ac:dyDescent="0.3">
      <c r="H344"/>
      <c r="I344"/>
      <c r="J344"/>
    </row>
    <row r="345" spans="8:10" x14ac:dyDescent="0.3">
      <c r="H345"/>
      <c r="I345"/>
      <c r="J345"/>
    </row>
    <row r="346" spans="8:10" x14ac:dyDescent="0.3">
      <c r="H346"/>
      <c r="I346"/>
      <c r="J346"/>
    </row>
    <row r="347" spans="8:10" x14ac:dyDescent="0.3">
      <c r="H347"/>
      <c r="I347"/>
      <c r="J347"/>
    </row>
    <row r="348" spans="8:10" x14ac:dyDescent="0.3">
      <c r="H348"/>
      <c r="I348"/>
      <c r="J348"/>
    </row>
    <row r="349" spans="8:10" x14ac:dyDescent="0.3">
      <c r="H349"/>
      <c r="I349"/>
      <c r="J349"/>
    </row>
    <row r="350" spans="8:10" x14ac:dyDescent="0.3">
      <c r="H350"/>
      <c r="I350"/>
      <c r="J350"/>
    </row>
    <row r="351" spans="8:10" x14ac:dyDescent="0.3">
      <c r="H351"/>
      <c r="I351"/>
      <c r="J351"/>
    </row>
    <row r="352" spans="8:10" x14ac:dyDescent="0.3">
      <c r="H352"/>
      <c r="I352"/>
      <c r="J352"/>
    </row>
    <row r="353" spans="8:10" x14ac:dyDescent="0.3">
      <c r="H353"/>
      <c r="I353"/>
      <c r="J353"/>
    </row>
    <row r="354" spans="8:10" x14ac:dyDescent="0.3">
      <c r="H354"/>
      <c r="I354"/>
      <c r="J354"/>
    </row>
    <row r="355" spans="8:10" x14ac:dyDescent="0.3">
      <c r="H355"/>
      <c r="I355"/>
      <c r="J355"/>
    </row>
    <row r="356" spans="8:10" x14ac:dyDescent="0.3">
      <c r="H356"/>
      <c r="I356"/>
      <c r="J356"/>
    </row>
    <row r="357" spans="8:10" x14ac:dyDescent="0.3">
      <c r="H357"/>
      <c r="I357"/>
      <c r="J357"/>
    </row>
    <row r="358" spans="8:10" x14ac:dyDescent="0.3">
      <c r="H358"/>
      <c r="I358"/>
      <c r="J358"/>
    </row>
    <row r="359" spans="8:10" x14ac:dyDescent="0.3">
      <c r="H359"/>
      <c r="I359"/>
      <c r="J359"/>
    </row>
    <row r="360" spans="8:10" x14ac:dyDescent="0.3">
      <c r="H360"/>
      <c r="I360"/>
      <c r="J360"/>
    </row>
    <row r="361" spans="8:10" x14ac:dyDescent="0.3">
      <c r="H361"/>
      <c r="I361"/>
      <c r="J361"/>
    </row>
    <row r="362" spans="8:10" x14ac:dyDescent="0.3">
      <c r="H362"/>
      <c r="I362"/>
      <c r="J362"/>
    </row>
    <row r="363" spans="8:10" x14ac:dyDescent="0.3">
      <c r="H363"/>
      <c r="I363"/>
      <c r="J363"/>
    </row>
    <row r="364" spans="8:10" x14ac:dyDescent="0.3">
      <c r="H364"/>
      <c r="I364"/>
      <c r="J364"/>
    </row>
    <row r="365" spans="8:10" x14ac:dyDescent="0.3">
      <c r="H365"/>
      <c r="I365"/>
      <c r="J365"/>
    </row>
    <row r="366" spans="8:10" x14ac:dyDescent="0.3">
      <c r="H366"/>
      <c r="I366"/>
      <c r="J366"/>
    </row>
    <row r="367" spans="8:10" x14ac:dyDescent="0.3">
      <c r="H367"/>
      <c r="I367"/>
      <c r="J367"/>
    </row>
    <row r="368" spans="8:10" x14ac:dyDescent="0.3">
      <c r="H368"/>
      <c r="I368"/>
      <c r="J368"/>
    </row>
    <row r="369" spans="8:10" x14ac:dyDescent="0.3">
      <c r="H369"/>
      <c r="I369"/>
      <c r="J369"/>
    </row>
    <row r="370" spans="8:10" x14ac:dyDescent="0.3">
      <c r="H370"/>
      <c r="I370"/>
      <c r="J370"/>
    </row>
    <row r="371" spans="8:10" x14ac:dyDescent="0.3">
      <c r="H371"/>
      <c r="I371"/>
      <c r="J371"/>
    </row>
    <row r="372" spans="8:10" x14ac:dyDescent="0.3">
      <c r="H372"/>
      <c r="I372"/>
      <c r="J372"/>
    </row>
    <row r="373" spans="8:10" x14ac:dyDescent="0.3">
      <c r="H373"/>
      <c r="I373"/>
      <c r="J373"/>
    </row>
    <row r="374" spans="8:10" x14ac:dyDescent="0.3">
      <c r="H374"/>
      <c r="I374"/>
      <c r="J374"/>
    </row>
    <row r="375" spans="8:10" x14ac:dyDescent="0.3">
      <c r="H375"/>
      <c r="I375"/>
      <c r="J375"/>
    </row>
    <row r="376" spans="8:10" x14ac:dyDescent="0.3">
      <c r="H376"/>
      <c r="I376"/>
      <c r="J376"/>
    </row>
    <row r="377" spans="8:10" x14ac:dyDescent="0.3">
      <c r="H377"/>
      <c r="I377"/>
      <c r="J377"/>
    </row>
    <row r="378" spans="8:10" x14ac:dyDescent="0.3">
      <c r="H378"/>
      <c r="I378"/>
      <c r="J378"/>
    </row>
    <row r="379" spans="8:10" x14ac:dyDescent="0.3">
      <c r="H379"/>
      <c r="I379"/>
      <c r="J379"/>
    </row>
    <row r="380" spans="8:10" x14ac:dyDescent="0.3">
      <c r="H380"/>
      <c r="I380"/>
      <c r="J380"/>
    </row>
    <row r="381" spans="8:10" x14ac:dyDescent="0.3">
      <c r="H381"/>
      <c r="I381"/>
      <c r="J381"/>
    </row>
    <row r="382" spans="8:10" x14ac:dyDescent="0.3">
      <c r="H382"/>
      <c r="I382"/>
      <c r="J382"/>
    </row>
    <row r="383" spans="8:10" x14ac:dyDescent="0.3">
      <c r="H383"/>
      <c r="I383"/>
      <c r="J383"/>
    </row>
    <row r="384" spans="8:10" x14ac:dyDescent="0.3">
      <c r="H384"/>
      <c r="I384"/>
      <c r="J384"/>
    </row>
    <row r="385" spans="8:10" x14ac:dyDescent="0.3">
      <c r="H385"/>
      <c r="I385"/>
      <c r="J385"/>
    </row>
    <row r="386" spans="8:10" x14ac:dyDescent="0.3">
      <c r="H386"/>
      <c r="I386"/>
      <c r="J386"/>
    </row>
    <row r="387" spans="8:10" x14ac:dyDescent="0.3">
      <c r="H387"/>
      <c r="I387"/>
      <c r="J387"/>
    </row>
    <row r="388" spans="8:10" x14ac:dyDescent="0.3">
      <c r="H388"/>
      <c r="I388"/>
      <c r="J388"/>
    </row>
    <row r="389" spans="8:10" x14ac:dyDescent="0.3">
      <c r="H389"/>
      <c r="I389"/>
      <c r="J389"/>
    </row>
    <row r="390" spans="8:10" x14ac:dyDescent="0.3">
      <c r="H390"/>
      <c r="I390"/>
      <c r="J390"/>
    </row>
    <row r="391" spans="8:10" x14ac:dyDescent="0.3">
      <c r="H391"/>
      <c r="I391"/>
      <c r="J391"/>
    </row>
    <row r="392" spans="8:10" x14ac:dyDescent="0.3">
      <c r="H392"/>
      <c r="I392"/>
      <c r="J392"/>
    </row>
    <row r="393" spans="8:10" x14ac:dyDescent="0.3">
      <c r="H393"/>
      <c r="I393"/>
      <c r="J393"/>
    </row>
    <row r="394" spans="8:10" x14ac:dyDescent="0.3">
      <c r="H394"/>
      <c r="I394"/>
      <c r="J394"/>
    </row>
    <row r="395" spans="8:10" x14ac:dyDescent="0.3">
      <c r="H395"/>
      <c r="I395"/>
      <c r="J395"/>
    </row>
    <row r="396" spans="8:10" x14ac:dyDescent="0.3">
      <c r="H396"/>
      <c r="I396"/>
      <c r="J396"/>
    </row>
    <row r="397" spans="8:10" x14ac:dyDescent="0.3">
      <c r="H397"/>
      <c r="I397"/>
      <c r="J397"/>
    </row>
    <row r="398" spans="8:10" x14ac:dyDescent="0.3">
      <c r="H398"/>
      <c r="I398"/>
      <c r="J398"/>
    </row>
    <row r="399" spans="8:10" x14ac:dyDescent="0.3">
      <c r="H399"/>
      <c r="I399"/>
      <c r="J399"/>
    </row>
    <row r="400" spans="8:10" x14ac:dyDescent="0.3">
      <c r="H400"/>
      <c r="I400"/>
      <c r="J400"/>
    </row>
    <row r="401" spans="8:10" x14ac:dyDescent="0.3">
      <c r="H401"/>
      <c r="I401"/>
      <c r="J401"/>
    </row>
    <row r="402" spans="8:10" x14ac:dyDescent="0.3">
      <c r="H402"/>
      <c r="I402"/>
      <c r="J402"/>
    </row>
    <row r="403" spans="8:10" x14ac:dyDescent="0.3">
      <c r="H403"/>
      <c r="I403"/>
      <c r="J403"/>
    </row>
    <row r="404" spans="8:10" x14ac:dyDescent="0.3">
      <c r="H404"/>
      <c r="I404"/>
      <c r="J404"/>
    </row>
    <row r="405" spans="8:10" x14ac:dyDescent="0.3">
      <c r="H405"/>
      <c r="I405"/>
      <c r="J405"/>
    </row>
    <row r="406" spans="8:10" x14ac:dyDescent="0.3">
      <c r="H406"/>
      <c r="I406"/>
      <c r="J406"/>
    </row>
    <row r="407" spans="8:10" x14ac:dyDescent="0.3">
      <c r="H407"/>
      <c r="I407"/>
      <c r="J407"/>
    </row>
    <row r="408" spans="8:10" x14ac:dyDescent="0.3">
      <c r="H408"/>
      <c r="I408"/>
      <c r="J408"/>
    </row>
    <row r="409" spans="8:10" x14ac:dyDescent="0.3">
      <c r="H409"/>
      <c r="I409"/>
      <c r="J409"/>
    </row>
    <row r="410" spans="8:10" x14ac:dyDescent="0.3">
      <c r="H410"/>
      <c r="I410"/>
      <c r="J410"/>
    </row>
    <row r="411" spans="8:10" x14ac:dyDescent="0.3">
      <c r="H411"/>
      <c r="I411"/>
      <c r="J411"/>
    </row>
    <row r="412" spans="8:10" x14ac:dyDescent="0.3">
      <c r="H412"/>
      <c r="I412"/>
      <c r="J412"/>
    </row>
    <row r="413" spans="8:10" x14ac:dyDescent="0.3">
      <c r="H413"/>
      <c r="I413"/>
      <c r="J413"/>
    </row>
    <row r="414" spans="8:10" x14ac:dyDescent="0.3">
      <c r="H414"/>
      <c r="I414"/>
      <c r="J414"/>
    </row>
    <row r="415" spans="8:10" x14ac:dyDescent="0.3">
      <c r="H415"/>
      <c r="I415"/>
      <c r="J415"/>
    </row>
    <row r="416" spans="8:10" x14ac:dyDescent="0.3">
      <c r="H416"/>
      <c r="I416"/>
      <c r="J416"/>
    </row>
    <row r="417" spans="8:10" x14ac:dyDescent="0.3">
      <c r="H417"/>
      <c r="I417"/>
      <c r="J417"/>
    </row>
    <row r="418" spans="8:10" x14ac:dyDescent="0.3">
      <c r="H418"/>
      <c r="I418"/>
      <c r="J418"/>
    </row>
    <row r="419" spans="8:10" x14ac:dyDescent="0.3">
      <c r="H419"/>
      <c r="I419"/>
      <c r="J419"/>
    </row>
    <row r="420" spans="8:10" x14ac:dyDescent="0.3">
      <c r="H420"/>
      <c r="I420"/>
      <c r="J420"/>
    </row>
    <row r="421" spans="8:10" x14ac:dyDescent="0.3">
      <c r="H421"/>
      <c r="I421"/>
      <c r="J421"/>
    </row>
    <row r="422" spans="8:10" x14ac:dyDescent="0.3">
      <c r="H422"/>
      <c r="I422"/>
      <c r="J422"/>
    </row>
    <row r="423" spans="8:10" x14ac:dyDescent="0.3">
      <c r="H423"/>
      <c r="I423"/>
      <c r="J423"/>
    </row>
    <row r="424" spans="8:10" x14ac:dyDescent="0.3">
      <c r="H424"/>
      <c r="I424"/>
      <c r="J424"/>
    </row>
    <row r="425" spans="8:10" x14ac:dyDescent="0.3">
      <c r="H425"/>
      <c r="I425"/>
      <c r="J425"/>
    </row>
    <row r="426" spans="8:10" x14ac:dyDescent="0.3">
      <c r="H426"/>
      <c r="I426"/>
      <c r="J426"/>
    </row>
    <row r="427" spans="8:10" x14ac:dyDescent="0.3">
      <c r="H427"/>
      <c r="I427"/>
      <c r="J427"/>
    </row>
    <row r="428" spans="8:10" x14ac:dyDescent="0.3">
      <c r="H428"/>
      <c r="I428"/>
      <c r="J428"/>
    </row>
    <row r="429" spans="8:10" x14ac:dyDescent="0.3">
      <c r="H429"/>
      <c r="I429"/>
      <c r="J429"/>
    </row>
    <row r="430" spans="8:10" x14ac:dyDescent="0.3">
      <c r="H430"/>
      <c r="I430"/>
      <c r="J430"/>
    </row>
    <row r="431" spans="8:10" x14ac:dyDescent="0.3">
      <c r="H431"/>
      <c r="I431"/>
      <c r="J431"/>
    </row>
    <row r="432" spans="8:10" x14ac:dyDescent="0.3">
      <c r="H432"/>
      <c r="I432"/>
      <c r="J432"/>
    </row>
    <row r="433" spans="8:10" x14ac:dyDescent="0.3">
      <c r="H433"/>
      <c r="I433"/>
      <c r="J433"/>
    </row>
    <row r="434" spans="8:10" x14ac:dyDescent="0.3">
      <c r="H434"/>
      <c r="I434"/>
      <c r="J434"/>
    </row>
    <row r="435" spans="8:10" x14ac:dyDescent="0.3">
      <c r="H435"/>
      <c r="I435"/>
      <c r="J435"/>
    </row>
    <row r="436" spans="8:10" x14ac:dyDescent="0.3">
      <c r="H436"/>
      <c r="I436"/>
      <c r="J436"/>
    </row>
    <row r="437" spans="8:10" x14ac:dyDescent="0.3">
      <c r="H437"/>
      <c r="I437"/>
      <c r="J437"/>
    </row>
    <row r="438" spans="8:10" x14ac:dyDescent="0.3">
      <c r="H438"/>
      <c r="I438"/>
      <c r="J438"/>
    </row>
    <row r="439" spans="8:10" x14ac:dyDescent="0.3">
      <c r="H439"/>
      <c r="I439"/>
      <c r="J439"/>
    </row>
    <row r="440" spans="8:10" x14ac:dyDescent="0.3">
      <c r="H440"/>
      <c r="I440"/>
      <c r="J440"/>
    </row>
    <row r="441" spans="8:10" x14ac:dyDescent="0.3">
      <c r="H441"/>
      <c r="I441"/>
      <c r="J441"/>
    </row>
    <row r="442" spans="8:10" x14ac:dyDescent="0.3">
      <c r="H442"/>
      <c r="I442"/>
      <c r="J442"/>
    </row>
    <row r="443" spans="8:10" x14ac:dyDescent="0.3">
      <c r="H443"/>
      <c r="I443"/>
      <c r="J443"/>
    </row>
    <row r="444" spans="8:10" x14ac:dyDescent="0.3">
      <c r="H444"/>
      <c r="I444"/>
      <c r="J444"/>
    </row>
    <row r="445" spans="8:10" x14ac:dyDescent="0.3">
      <c r="H445"/>
      <c r="I445"/>
      <c r="J445"/>
    </row>
    <row r="446" spans="8:10" x14ac:dyDescent="0.3">
      <c r="H446"/>
      <c r="I446"/>
      <c r="J446"/>
    </row>
    <row r="447" spans="8:10" x14ac:dyDescent="0.3">
      <c r="H447"/>
      <c r="I447"/>
      <c r="J447"/>
    </row>
    <row r="448" spans="8:10" x14ac:dyDescent="0.3">
      <c r="H448"/>
      <c r="I448"/>
      <c r="J448"/>
    </row>
    <row r="449" spans="8:10" x14ac:dyDescent="0.3">
      <c r="H449"/>
      <c r="I449"/>
      <c r="J449"/>
    </row>
    <row r="450" spans="8:10" x14ac:dyDescent="0.3">
      <c r="H450"/>
      <c r="I450"/>
      <c r="J450"/>
    </row>
    <row r="451" spans="8:10" x14ac:dyDescent="0.3">
      <c r="H451"/>
      <c r="I451"/>
      <c r="J451"/>
    </row>
    <row r="452" spans="8:10" x14ac:dyDescent="0.3">
      <c r="H452"/>
      <c r="I452"/>
      <c r="J452"/>
    </row>
    <row r="453" spans="8:10" x14ac:dyDescent="0.3">
      <c r="H453"/>
      <c r="I453"/>
      <c r="J453"/>
    </row>
    <row r="454" spans="8:10" x14ac:dyDescent="0.3">
      <c r="H454"/>
      <c r="I454"/>
      <c r="J454"/>
    </row>
    <row r="455" spans="8:10" x14ac:dyDescent="0.3">
      <c r="H455"/>
      <c r="I455"/>
      <c r="J455"/>
    </row>
    <row r="456" spans="8:10" x14ac:dyDescent="0.3">
      <c r="H456"/>
      <c r="I456"/>
      <c r="J456"/>
    </row>
    <row r="457" spans="8:10" x14ac:dyDescent="0.3">
      <c r="H457"/>
      <c r="I457"/>
      <c r="J457"/>
    </row>
    <row r="458" spans="8:10" x14ac:dyDescent="0.3">
      <c r="H458"/>
      <c r="I458"/>
      <c r="J458"/>
    </row>
    <row r="459" spans="8:10" x14ac:dyDescent="0.3">
      <c r="H459"/>
      <c r="I459"/>
      <c r="J459"/>
    </row>
    <row r="460" spans="8:10" x14ac:dyDescent="0.3">
      <c r="H460"/>
      <c r="I460"/>
      <c r="J460"/>
    </row>
    <row r="461" spans="8:10" x14ac:dyDescent="0.3">
      <c r="H461"/>
      <c r="I461"/>
      <c r="J461"/>
    </row>
    <row r="462" spans="8:10" x14ac:dyDescent="0.3">
      <c r="H462"/>
      <c r="I462"/>
      <c r="J462"/>
    </row>
    <row r="463" spans="8:10" x14ac:dyDescent="0.3">
      <c r="H463"/>
      <c r="I463"/>
      <c r="J463"/>
    </row>
    <row r="464" spans="8:10" x14ac:dyDescent="0.3">
      <c r="H464"/>
      <c r="I464"/>
      <c r="J464"/>
    </row>
    <row r="465" spans="8:10" x14ac:dyDescent="0.3">
      <c r="H465"/>
      <c r="I465"/>
      <c r="J465"/>
    </row>
    <row r="466" spans="8:10" x14ac:dyDescent="0.3">
      <c r="H466"/>
      <c r="I466"/>
      <c r="J466"/>
    </row>
    <row r="467" spans="8:10" x14ac:dyDescent="0.3">
      <c r="H467"/>
      <c r="I467"/>
      <c r="J467"/>
    </row>
    <row r="468" spans="8:10" x14ac:dyDescent="0.3">
      <c r="H468"/>
      <c r="I468"/>
      <c r="J468"/>
    </row>
    <row r="469" spans="8:10" x14ac:dyDescent="0.3">
      <c r="H469"/>
      <c r="I469"/>
      <c r="J469"/>
    </row>
    <row r="470" spans="8:10" x14ac:dyDescent="0.3">
      <c r="H470"/>
      <c r="I470"/>
      <c r="J470"/>
    </row>
    <row r="471" spans="8:10" x14ac:dyDescent="0.3">
      <c r="H471"/>
      <c r="I471"/>
      <c r="J471"/>
    </row>
    <row r="472" spans="8:10" x14ac:dyDescent="0.3">
      <c r="H472"/>
      <c r="I472"/>
      <c r="J472"/>
    </row>
    <row r="473" spans="8:10" x14ac:dyDescent="0.3">
      <c r="H473"/>
      <c r="I473"/>
      <c r="J473"/>
    </row>
    <row r="474" spans="8:10" x14ac:dyDescent="0.3">
      <c r="H474"/>
      <c r="I474"/>
      <c r="J474"/>
    </row>
    <row r="475" spans="8:10" x14ac:dyDescent="0.3">
      <c r="H475"/>
      <c r="I475"/>
      <c r="J475"/>
    </row>
    <row r="476" spans="8:10" x14ac:dyDescent="0.3">
      <c r="H476"/>
      <c r="I476"/>
      <c r="J476"/>
    </row>
    <row r="477" spans="8:10" x14ac:dyDescent="0.3">
      <c r="H477"/>
      <c r="I477"/>
      <c r="J477"/>
    </row>
    <row r="478" spans="8:10" x14ac:dyDescent="0.3">
      <c r="H478"/>
      <c r="I478"/>
      <c r="J478"/>
    </row>
    <row r="479" spans="8:10" x14ac:dyDescent="0.3">
      <c r="H479"/>
      <c r="I479"/>
      <c r="J479"/>
    </row>
    <row r="480" spans="8:10" x14ac:dyDescent="0.3">
      <c r="H480"/>
      <c r="I480"/>
      <c r="J480"/>
    </row>
    <row r="481" spans="8:10" x14ac:dyDescent="0.3">
      <c r="H481"/>
      <c r="I481"/>
      <c r="J481"/>
    </row>
    <row r="482" spans="8:10" x14ac:dyDescent="0.3">
      <c r="H482"/>
      <c r="I482"/>
      <c r="J482"/>
    </row>
    <row r="483" spans="8:10" x14ac:dyDescent="0.3">
      <c r="H483"/>
      <c r="I483"/>
      <c r="J483"/>
    </row>
    <row r="484" spans="8:10" x14ac:dyDescent="0.3">
      <c r="H484"/>
      <c r="I484"/>
      <c r="J484"/>
    </row>
    <row r="485" spans="8:10" x14ac:dyDescent="0.3">
      <c r="H485"/>
      <c r="I485"/>
      <c r="J485"/>
    </row>
    <row r="486" spans="8:10" x14ac:dyDescent="0.3">
      <c r="H486"/>
      <c r="I486"/>
      <c r="J486"/>
    </row>
    <row r="487" spans="8:10" x14ac:dyDescent="0.3">
      <c r="H487"/>
      <c r="I487"/>
      <c r="J487"/>
    </row>
    <row r="488" spans="8:10" x14ac:dyDescent="0.3">
      <c r="H488"/>
      <c r="I488"/>
      <c r="J488"/>
    </row>
    <row r="489" spans="8:10" x14ac:dyDescent="0.3">
      <c r="H489"/>
      <c r="I489"/>
      <c r="J489"/>
    </row>
    <row r="490" spans="8:10" x14ac:dyDescent="0.3">
      <c r="H490"/>
      <c r="I490"/>
      <c r="J490"/>
    </row>
    <row r="491" spans="8:10" x14ac:dyDescent="0.3">
      <c r="H491"/>
      <c r="I491"/>
      <c r="J491"/>
    </row>
    <row r="492" spans="8:10" x14ac:dyDescent="0.3">
      <c r="H492"/>
      <c r="I492"/>
      <c r="J492"/>
    </row>
    <row r="493" spans="8:10" x14ac:dyDescent="0.3">
      <c r="H493"/>
      <c r="I493"/>
      <c r="J493"/>
    </row>
    <row r="494" spans="8:10" x14ac:dyDescent="0.3">
      <c r="H494"/>
      <c r="I494"/>
      <c r="J494"/>
    </row>
    <row r="495" spans="8:10" x14ac:dyDescent="0.3">
      <c r="H495"/>
      <c r="I495"/>
      <c r="J495"/>
    </row>
    <row r="496" spans="8:10" x14ac:dyDescent="0.3">
      <c r="H496"/>
      <c r="I496"/>
      <c r="J496"/>
    </row>
    <row r="497" spans="8:10" x14ac:dyDescent="0.3">
      <c r="H497"/>
      <c r="I497"/>
      <c r="J497"/>
    </row>
    <row r="498" spans="8:10" x14ac:dyDescent="0.3">
      <c r="H498"/>
      <c r="I498"/>
      <c r="J498"/>
    </row>
    <row r="499" spans="8:10" x14ac:dyDescent="0.3">
      <c r="H499"/>
      <c r="I499"/>
      <c r="J499"/>
    </row>
    <row r="500" spans="8:10" x14ac:dyDescent="0.3">
      <c r="H500"/>
      <c r="I500"/>
      <c r="J500"/>
    </row>
    <row r="501" spans="8:10" x14ac:dyDescent="0.3">
      <c r="H501"/>
      <c r="I501"/>
      <c r="J501"/>
    </row>
    <row r="502" spans="8:10" x14ac:dyDescent="0.3">
      <c r="H502"/>
      <c r="I502"/>
      <c r="J502"/>
    </row>
    <row r="503" spans="8:10" x14ac:dyDescent="0.3">
      <c r="H503"/>
      <c r="I503"/>
      <c r="J503"/>
    </row>
    <row r="504" spans="8:10" x14ac:dyDescent="0.3">
      <c r="H504"/>
      <c r="I504"/>
      <c r="J504"/>
    </row>
    <row r="505" spans="8:10" x14ac:dyDescent="0.3">
      <c r="H505"/>
      <c r="I505"/>
      <c r="J505"/>
    </row>
    <row r="506" spans="8:10" x14ac:dyDescent="0.3">
      <c r="H506"/>
      <c r="I506"/>
      <c r="J506"/>
    </row>
    <row r="507" spans="8:10" x14ac:dyDescent="0.3">
      <c r="H507"/>
      <c r="I507"/>
      <c r="J507"/>
    </row>
    <row r="508" spans="8:10" x14ac:dyDescent="0.3">
      <c r="H508"/>
      <c r="I508"/>
      <c r="J508"/>
    </row>
    <row r="509" spans="8:10" x14ac:dyDescent="0.3">
      <c r="H509"/>
      <c r="I509"/>
      <c r="J509"/>
    </row>
    <row r="510" spans="8:10" x14ac:dyDescent="0.3">
      <c r="H510"/>
      <c r="I510"/>
      <c r="J510"/>
    </row>
    <row r="511" spans="8:10" x14ac:dyDescent="0.3">
      <c r="H511"/>
      <c r="I511"/>
      <c r="J511"/>
    </row>
    <row r="512" spans="8:10" x14ac:dyDescent="0.3">
      <c r="H512"/>
      <c r="I512"/>
      <c r="J512"/>
    </row>
    <row r="513" spans="8:10" x14ac:dyDescent="0.3">
      <c r="H513"/>
      <c r="I513"/>
      <c r="J513"/>
    </row>
    <row r="514" spans="8:10" x14ac:dyDescent="0.3">
      <c r="H514"/>
      <c r="I514"/>
      <c r="J514"/>
    </row>
    <row r="515" spans="8:10" x14ac:dyDescent="0.3">
      <c r="H515"/>
      <c r="I515"/>
      <c r="J515"/>
    </row>
    <row r="516" spans="8:10" x14ac:dyDescent="0.3">
      <c r="H516"/>
      <c r="I516"/>
      <c r="J516"/>
    </row>
    <row r="517" spans="8:10" x14ac:dyDescent="0.3">
      <c r="H517"/>
      <c r="I517"/>
      <c r="J517"/>
    </row>
    <row r="518" spans="8:10" x14ac:dyDescent="0.3">
      <c r="H518"/>
      <c r="I518"/>
      <c r="J518"/>
    </row>
    <row r="519" spans="8:10" x14ac:dyDescent="0.3">
      <c r="H519"/>
      <c r="I519"/>
      <c r="J519"/>
    </row>
    <row r="520" spans="8:10" x14ac:dyDescent="0.3">
      <c r="H520"/>
      <c r="I520"/>
      <c r="J520"/>
    </row>
    <row r="521" spans="8:10" x14ac:dyDescent="0.3">
      <c r="H521"/>
      <c r="I521"/>
      <c r="J521"/>
    </row>
    <row r="522" spans="8:10" x14ac:dyDescent="0.3">
      <c r="H522"/>
      <c r="I522"/>
      <c r="J522"/>
    </row>
    <row r="523" spans="8:10" x14ac:dyDescent="0.3">
      <c r="H523"/>
      <c r="I523"/>
      <c r="J523"/>
    </row>
    <row r="524" spans="8:10" x14ac:dyDescent="0.3">
      <c r="H524"/>
      <c r="I524"/>
      <c r="J524"/>
    </row>
    <row r="525" spans="8:10" x14ac:dyDescent="0.3">
      <c r="H525"/>
      <c r="I525"/>
      <c r="J525"/>
    </row>
    <row r="526" spans="8:10" x14ac:dyDescent="0.3">
      <c r="H526"/>
      <c r="I526"/>
      <c r="J526"/>
    </row>
    <row r="527" spans="8:10" x14ac:dyDescent="0.3">
      <c r="H527"/>
      <c r="I527"/>
      <c r="J527"/>
    </row>
    <row r="528" spans="8:10" x14ac:dyDescent="0.3">
      <c r="H528"/>
      <c r="I528"/>
      <c r="J528"/>
    </row>
    <row r="529" spans="8:10" x14ac:dyDescent="0.3">
      <c r="H529"/>
      <c r="I529"/>
      <c r="J529"/>
    </row>
    <row r="530" spans="8:10" x14ac:dyDescent="0.3">
      <c r="H530"/>
      <c r="I530"/>
      <c r="J530"/>
    </row>
    <row r="531" spans="8:10" x14ac:dyDescent="0.3">
      <c r="H531"/>
      <c r="I531"/>
      <c r="J531"/>
    </row>
    <row r="532" spans="8:10" x14ac:dyDescent="0.3">
      <c r="H532"/>
      <c r="I532"/>
      <c r="J532"/>
    </row>
    <row r="533" spans="8:10" x14ac:dyDescent="0.3">
      <c r="H533"/>
      <c r="I533"/>
      <c r="J533"/>
    </row>
    <row r="534" spans="8:10" x14ac:dyDescent="0.3">
      <c r="H534"/>
      <c r="I534"/>
      <c r="J534"/>
    </row>
    <row r="535" spans="8:10" x14ac:dyDescent="0.3">
      <c r="H535"/>
      <c r="I535"/>
      <c r="J535"/>
    </row>
    <row r="536" spans="8:10" x14ac:dyDescent="0.3">
      <c r="H536"/>
      <c r="I536"/>
      <c r="J536"/>
    </row>
    <row r="537" spans="8:10" x14ac:dyDescent="0.3">
      <c r="H537"/>
      <c r="I537"/>
      <c r="J537"/>
    </row>
    <row r="538" spans="8:10" x14ac:dyDescent="0.3">
      <c r="H538"/>
      <c r="I538"/>
      <c r="J538"/>
    </row>
    <row r="539" spans="8:10" x14ac:dyDescent="0.3">
      <c r="H539"/>
      <c r="I539"/>
      <c r="J539"/>
    </row>
    <row r="540" spans="8:10" x14ac:dyDescent="0.3">
      <c r="H540"/>
      <c r="I540"/>
      <c r="J540"/>
    </row>
    <row r="541" spans="8:10" x14ac:dyDescent="0.3">
      <c r="H541"/>
      <c r="I541"/>
      <c r="J541"/>
    </row>
    <row r="542" spans="8:10" x14ac:dyDescent="0.3">
      <c r="H542"/>
      <c r="I542"/>
      <c r="J542"/>
    </row>
    <row r="543" spans="8:10" x14ac:dyDescent="0.3">
      <c r="H543"/>
      <c r="I543"/>
      <c r="J543"/>
    </row>
    <row r="544" spans="8:10" x14ac:dyDescent="0.3">
      <c r="H544"/>
      <c r="I544"/>
      <c r="J544"/>
    </row>
    <row r="545" spans="8:10" x14ac:dyDescent="0.3">
      <c r="H545"/>
      <c r="I545"/>
      <c r="J545"/>
    </row>
    <row r="546" spans="8:10" x14ac:dyDescent="0.3">
      <c r="H546"/>
      <c r="I546"/>
      <c r="J546"/>
    </row>
    <row r="547" spans="8:10" x14ac:dyDescent="0.3">
      <c r="H547"/>
      <c r="I547"/>
      <c r="J547"/>
    </row>
    <row r="548" spans="8:10" x14ac:dyDescent="0.3">
      <c r="H548"/>
      <c r="I548"/>
      <c r="J548"/>
    </row>
    <row r="549" spans="8:10" x14ac:dyDescent="0.3">
      <c r="H549"/>
      <c r="I549"/>
      <c r="J549"/>
    </row>
    <row r="550" spans="8:10" x14ac:dyDescent="0.3">
      <c r="H550"/>
      <c r="I550"/>
      <c r="J550"/>
    </row>
    <row r="551" spans="8:10" x14ac:dyDescent="0.3">
      <c r="H551"/>
      <c r="I551"/>
      <c r="J551"/>
    </row>
    <row r="552" spans="8:10" x14ac:dyDescent="0.3">
      <c r="H552"/>
      <c r="I552"/>
      <c r="J552"/>
    </row>
    <row r="553" spans="8:10" x14ac:dyDescent="0.3">
      <c r="H553"/>
      <c r="I553"/>
      <c r="J553"/>
    </row>
    <row r="554" spans="8:10" x14ac:dyDescent="0.3">
      <c r="H554"/>
      <c r="I554"/>
      <c r="J554"/>
    </row>
    <row r="555" spans="8:10" x14ac:dyDescent="0.3">
      <c r="H555"/>
      <c r="I555"/>
      <c r="J555"/>
    </row>
    <row r="556" spans="8:10" x14ac:dyDescent="0.3">
      <c r="H556"/>
      <c r="I556"/>
      <c r="J556"/>
    </row>
    <row r="557" spans="8:10" x14ac:dyDescent="0.3">
      <c r="H557"/>
      <c r="I557"/>
      <c r="J557"/>
    </row>
    <row r="558" spans="8:10" x14ac:dyDescent="0.3">
      <c r="H558"/>
      <c r="I558"/>
      <c r="J558"/>
    </row>
    <row r="559" spans="8:10" x14ac:dyDescent="0.3">
      <c r="H559"/>
      <c r="I559"/>
      <c r="J559"/>
    </row>
    <row r="560" spans="8:10" x14ac:dyDescent="0.3">
      <c r="H560"/>
      <c r="I560"/>
      <c r="J560"/>
    </row>
    <row r="561" spans="8:10" x14ac:dyDescent="0.3">
      <c r="H561"/>
      <c r="I561"/>
      <c r="J561"/>
    </row>
    <row r="562" spans="8:10" x14ac:dyDescent="0.3">
      <c r="H562"/>
      <c r="I562"/>
      <c r="J562"/>
    </row>
    <row r="563" spans="8:10" x14ac:dyDescent="0.3">
      <c r="H563"/>
      <c r="I563"/>
      <c r="J563"/>
    </row>
    <row r="564" spans="8:10" x14ac:dyDescent="0.3">
      <c r="H564"/>
      <c r="I564"/>
      <c r="J564"/>
    </row>
    <row r="565" spans="8:10" x14ac:dyDescent="0.3">
      <c r="H565"/>
      <c r="I565"/>
      <c r="J565"/>
    </row>
    <row r="566" spans="8:10" x14ac:dyDescent="0.3">
      <c r="H566"/>
      <c r="I566"/>
      <c r="J566"/>
    </row>
    <row r="567" spans="8:10" x14ac:dyDescent="0.3">
      <c r="H567"/>
      <c r="I567"/>
      <c r="J567"/>
    </row>
    <row r="568" spans="8:10" x14ac:dyDescent="0.3">
      <c r="H568"/>
      <c r="I568"/>
      <c r="J568"/>
    </row>
    <row r="569" spans="8:10" x14ac:dyDescent="0.3">
      <c r="H569"/>
      <c r="I569"/>
      <c r="J569"/>
    </row>
    <row r="570" spans="8:10" x14ac:dyDescent="0.3">
      <c r="H570"/>
      <c r="I570"/>
      <c r="J570"/>
    </row>
    <row r="571" spans="8:10" x14ac:dyDescent="0.3">
      <c r="H571"/>
      <c r="I571"/>
      <c r="J571"/>
    </row>
    <row r="572" spans="8:10" x14ac:dyDescent="0.3">
      <c r="H572"/>
      <c r="I572"/>
      <c r="J572"/>
    </row>
    <row r="573" spans="8:10" x14ac:dyDescent="0.3">
      <c r="H573"/>
      <c r="I573"/>
      <c r="J573"/>
    </row>
    <row r="574" spans="8:10" x14ac:dyDescent="0.3">
      <c r="H574"/>
      <c r="I574"/>
      <c r="J574"/>
    </row>
    <row r="575" spans="8:10" x14ac:dyDescent="0.3">
      <c r="H575"/>
      <c r="I575"/>
      <c r="J575"/>
    </row>
    <row r="576" spans="8:10" x14ac:dyDescent="0.3">
      <c r="H576"/>
      <c r="I576"/>
      <c r="J576"/>
    </row>
    <row r="577" spans="8:10" x14ac:dyDescent="0.3">
      <c r="H577"/>
      <c r="I577"/>
      <c r="J577"/>
    </row>
    <row r="578" spans="8:10" x14ac:dyDescent="0.3">
      <c r="H578"/>
      <c r="I578"/>
      <c r="J578"/>
    </row>
    <row r="579" spans="8:10" x14ac:dyDescent="0.3">
      <c r="H579"/>
      <c r="I579"/>
      <c r="J579"/>
    </row>
    <row r="580" spans="8:10" x14ac:dyDescent="0.3">
      <c r="H580"/>
      <c r="I580"/>
      <c r="J580"/>
    </row>
    <row r="581" spans="8:10" x14ac:dyDescent="0.3">
      <c r="H581"/>
      <c r="I581"/>
      <c r="J581"/>
    </row>
    <row r="582" spans="8:10" x14ac:dyDescent="0.3">
      <c r="H582"/>
      <c r="I582"/>
      <c r="J582"/>
    </row>
    <row r="583" spans="8:10" x14ac:dyDescent="0.3">
      <c r="H583"/>
      <c r="I583"/>
      <c r="J583"/>
    </row>
    <row r="584" spans="8:10" x14ac:dyDescent="0.3">
      <c r="H584"/>
      <c r="I584"/>
      <c r="J584"/>
    </row>
    <row r="585" spans="8:10" x14ac:dyDescent="0.3">
      <c r="H585"/>
      <c r="I585"/>
      <c r="J585"/>
    </row>
    <row r="586" spans="8:10" x14ac:dyDescent="0.3">
      <c r="H586"/>
      <c r="I586"/>
      <c r="J586"/>
    </row>
    <row r="587" spans="8:10" x14ac:dyDescent="0.3">
      <c r="H587"/>
      <c r="I587"/>
      <c r="J587"/>
    </row>
    <row r="588" spans="8:10" x14ac:dyDescent="0.3">
      <c r="H588"/>
      <c r="I588"/>
      <c r="J588"/>
    </row>
    <row r="589" spans="8:10" x14ac:dyDescent="0.3">
      <c r="H589"/>
      <c r="I589"/>
      <c r="J589"/>
    </row>
    <row r="590" spans="8:10" x14ac:dyDescent="0.3">
      <c r="H590"/>
      <c r="I590"/>
      <c r="J590"/>
    </row>
    <row r="591" spans="8:10" x14ac:dyDescent="0.3">
      <c r="H591"/>
      <c r="I591"/>
      <c r="J591"/>
    </row>
    <row r="592" spans="8:10" x14ac:dyDescent="0.3">
      <c r="H592"/>
      <c r="I592"/>
      <c r="J592"/>
    </row>
    <row r="593" spans="8:10" x14ac:dyDescent="0.3">
      <c r="H593"/>
      <c r="I593"/>
      <c r="J593"/>
    </row>
    <row r="594" spans="8:10" x14ac:dyDescent="0.3">
      <c r="H594"/>
      <c r="I594"/>
      <c r="J594"/>
    </row>
    <row r="595" spans="8:10" x14ac:dyDescent="0.3">
      <c r="H595"/>
      <c r="I595"/>
      <c r="J595"/>
    </row>
    <row r="596" spans="8:10" x14ac:dyDescent="0.3">
      <c r="H596"/>
      <c r="I596"/>
      <c r="J596"/>
    </row>
    <row r="597" spans="8:10" x14ac:dyDescent="0.3">
      <c r="H597"/>
      <c r="I597"/>
      <c r="J597"/>
    </row>
    <row r="598" spans="8:10" x14ac:dyDescent="0.3">
      <c r="H598"/>
      <c r="I598"/>
      <c r="J598"/>
    </row>
    <row r="599" spans="8:10" x14ac:dyDescent="0.3">
      <c r="H599"/>
      <c r="I599"/>
      <c r="J599"/>
    </row>
    <row r="600" spans="8:10" x14ac:dyDescent="0.3">
      <c r="H600"/>
      <c r="I600"/>
      <c r="J600"/>
    </row>
    <row r="601" spans="8:10" x14ac:dyDescent="0.3">
      <c r="H601"/>
      <c r="I601"/>
      <c r="J601"/>
    </row>
    <row r="602" spans="8:10" x14ac:dyDescent="0.3">
      <c r="H602"/>
      <c r="I602"/>
      <c r="J602"/>
    </row>
    <row r="603" spans="8:10" x14ac:dyDescent="0.3">
      <c r="H603"/>
      <c r="I603"/>
      <c r="J603"/>
    </row>
    <row r="604" spans="8:10" x14ac:dyDescent="0.3">
      <c r="H604"/>
      <c r="I604"/>
      <c r="J604"/>
    </row>
    <row r="605" spans="8:10" x14ac:dyDescent="0.3">
      <c r="H605"/>
      <c r="I605"/>
      <c r="J605"/>
    </row>
    <row r="606" spans="8:10" x14ac:dyDescent="0.3">
      <c r="H606"/>
      <c r="I606"/>
      <c r="J606"/>
    </row>
    <row r="607" spans="8:10" x14ac:dyDescent="0.3">
      <c r="H607"/>
      <c r="I607"/>
      <c r="J607"/>
    </row>
    <row r="608" spans="8:10" x14ac:dyDescent="0.3">
      <c r="H608"/>
      <c r="I608"/>
      <c r="J608"/>
    </row>
    <row r="609" spans="8:10" x14ac:dyDescent="0.3">
      <c r="H609"/>
      <c r="I609"/>
      <c r="J609"/>
    </row>
    <row r="610" spans="8:10" x14ac:dyDescent="0.3">
      <c r="H610"/>
      <c r="I610"/>
      <c r="J610"/>
    </row>
    <row r="611" spans="8:10" x14ac:dyDescent="0.3">
      <c r="H611"/>
      <c r="I611"/>
      <c r="J611"/>
    </row>
    <row r="612" spans="8:10" x14ac:dyDescent="0.3">
      <c r="H612"/>
      <c r="I612"/>
      <c r="J612"/>
    </row>
    <row r="613" spans="8:10" x14ac:dyDescent="0.3">
      <c r="H613"/>
      <c r="I613"/>
      <c r="J613"/>
    </row>
    <row r="614" spans="8:10" x14ac:dyDescent="0.3">
      <c r="H614"/>
      <c r="I614"/>
      <c r="J614"/>
    </row>
    <row r="615" spans="8:10" x14ac:dyDescent="0.3">
      <c r="H615"/>
      <c r="I615"/>
      <c r="J615"/>
    </row>
    <row r="616" spans="8:10" x14ac:dyDescent="0.3">
      <c r="H616"/>
      <c r="I616"/>
      <c r="J616"/>
    </row>
    <row r="617" spans="8:10" x14ac:dyDescent="0.3">
      <c r="H617"/>
      <c r="I617"/>
      <c r="J617"/>
    </row>
    <row r="618" spans="8:10" x14ac:dyDescent="0.3">
      <c r="H618"/>
      <c r="I618"/>
      <c r="J618"/>
    </row>
    <row r="619" spans="8:10" x14ac:dyDescent="0.3">
      <c r="H619"/>
      <c r="I619"/>
      <c r="J619"/>
    </row>
    <row r="620" spans="8:10" x14ac:dyDescent="0.3">
      <c r="H620"/>
      <c r="I620"/>
      <c r="J620"/>
    </row>
    <row r="621" spans="8:10" x14ac:dyDescent="0.3">
      <c r="H621"/>
      <c r="I621"/>
      <c r="J621"/>
    </row>
    <row r="622" spans="8:10" x14ac:dyDescent="0.3">
      <c r="H622"/>
      <c r="I622"/>
      <c r="J622"/>
    </row>
    <row r="623" spans="8:10" x14ac:dyDescent="0.3">
      <c r="H623"/>
      <c r="I623"/>
      <c r="J623"/>
    </row>
    <row r="624" spans="8:10" x14ac:dyDescent="0.3">
      <c r="H624"/>
      <c r="I624"/>
      <c r="J624"/>
    </row>
    <row r="625" spans="8:10" x14ac:dyDescent="0.3">
      <c r="H625"/>
      <c r="I625"/>
      <c r="J625"/>
    </row>
    <row r="626" spans="8:10" x14ac:dyDescent="0.3">
      <c r="H626"/>
      <c r="I626"/>
      <c r="J626"/>
    </row>
    <row r="627" spans="8:10" x14ac:dyDescent="0.3">
      <c r="H627"/>
      <c r="I627"/>
      <c r="J627"/>
    </row>
    <row r="628" spans="8:10" x14ac:dyDescent="0.3">
      <c r="H628"/>
      <c r="I628"/>
      <c r="J628"/>
    </row>
    <row r="629" spans="8:10" x14ac:dyDescent="0.3">
      <c r="H629"/>
      <c r="I629"/>
      <c r="J629"/>
    </row>
    <row r="630" spans="8:10" x14ac:dyDescent="0.3">
      <c r="H630"/>
      <c r="I630"/>
      <c r="J630"/>
    </row>
    <row r="631" spans="8:10" x14ac:dyDescent="0.3">
      <c r="H631"/>
      <c r="I631"/>
      <c r="J631"/>
    </row>
    <row r="632" spans="8:10" x14ac:dyDescent="0.3">
      <c r="H632"/>
      <c r="I632"/>
      <c r="J632"/>
    </row>
    <row r="633" spans="8:10" x14ac:dyDescent="0.3">
      <c r="H633"/>
      <c r="I633"/>
      <c r="J633"/>
    </row>
    <row r="634" spans="8:10" x14ac:dyDescent="0.3">
      <c r="H634"/>
      <c r="I634"/>
      <c r="J634"/>
    </row>
    <row r="635" spans="8:10" x14ac:dyDescent="0.3">
      <c r="H635"/>
      <c r="I635"/>
      <c r="J635"/>
    </row>
    <row r="636" spans="8:10" x14ac:dyDescent="0.3">
      <c r="H636"/>
      <c r="I636"/>
      <c r="J636"/>
    </row>
    <row r="637" spans="8:10" x14ac:dyDescent="0.3">
      <c r="H637"/>
      <c r="I637"/>
      <c r="J637"/>
    </row>
    <row r="638" spans="8:10" x14ac:dyDescent="0.3">
      <c r="H638"/>
      <c r="I638"/>
      <c r="J638"/>
    </row>
    <row r="639" spans="8:10" x14ac:dyDescent="0.3">
      <c r="H639"/>
      <c r="I639"/>
      <c r="J639"/>
    </row>
    <row r="640" spans="8:10" x14ac:dyDescent="0.3">
      <c r="H640"/>
      <c r="I640"/>
      <c r="J640"/>
    </row>
    <row r="641" spans="8:10" x14ac:dyDescent="0.3">
      <c r="H641"/>
      <c r="I641"/>
      <c r="J641"/>
    </row>
    <row r="642" spans="8:10" x14ac:dyDescent="0.3">
      <c r="H642"/>
      <c r="I642"/>
      <c r="J642"/>
    </row>
    <row r="643" spans="8:10" x14ac:dyDescent="0.3">
      <c r="H643"/>
      <c r="I643"/>
      <c r="J643"/>
    </row>
    <row r="644" spans="8:10" x14ac:dyDescent="0.3">
      <c r="H644"/>
      <c r="I644"/>
      <c r="J644"/>
    </row>
    <row r="645" spans="8:10" x14ac:dyDescent="0.3">
      <c r="H645"/>
      <c r="I645"/>
      <c r="J645"/>
    </row>
    <row r="646" spans="8:10" x14ac:dyDescent="0.3">
      <c r="H646"/>
      <c r="I646"/>
      <c r="J646"/>
    </row>
    <row r="647" spans="8:10" x14ac:dyDescent="0.3">
      <c r="H647"/>
      <c r="I647"/>
      <c r="J647"/>
    </row>
    <row r="648" spans="8:10" x14ac:dyDescent="0.3">
      <c r="H648"/>
      <c r="I648"/>
      <c r="J648"/>
    </row>
    <row r="649" spans="8:10" x14ac:dyDescent="0.3">
      <c r="H649"/>
      <c r="I649"/>
      <c r="J649"/>
    </row>
    <row r="650" spans="8:10" x14ac:dyDescent="0.3">
      <c r="H650"/>
      <c r="I650"/>
      <c r="J650"/>
    </row>
    <row r="651" spans="8:10" x14ac:dyDescent="0.3">
      <c r="H651"/>
      <c r="I651"/>
      <c r="J651"/>
    </row>
    <row r="652" spans="8:10" x14ac:dyDescent="0.3">
      <c r="H652"/>
      <c r="I652"/>
      <c r="J652"/>
    </row>
    <row r="653" spans="8:10" x14ac:dyDescent="0.3">
      <c r="H653"/>
      <c r="I653"/>
      <c r="J653"/>
    </row>
    <row r="654" spans="8:10" x14ac:dyDescent="0.3">
      <c r="H654"/>
      <c r="I654"/>
      <c r="J654"/>
    </row>
    <row r="655" spans="8:10" x14ac:dyDescent="0.3">
      <c r="H655"/>
      <c r="I655"/>
      <c r="J655"/>
    </row>
    <row r="656" spans="8:10" x14ac:dyDescent="0.3">
      <c r="H656"/>
      <c r="I656"/>
      <c r="J656"/>
    </row>
    <row r="657" spans="8:10" x14ac:dyDescent="0.3">
      <c r="H657"/>
      <c r="I657"/>
      <c r="J657"/>
    </row>
    <row r="658" spans="8:10" x14ac:dyDescent="0.3">
      <c r="H658"/>
      <c r="I658"/>
      <c r="J658"/>
    </row>
    <row r="659" spans="8:10" x14ac:dyDescent="0.3">
      <c r="H659"/>
      <c r="I659"/>
      <c r="J659"/>
    </row>
    <row r="660" spans="8:10" x14ac:dyDescent="0.3">
      <c r="H660"/>
      <c r="I660"/>
      <c r="J660"/>
    </row>
    <row r="661" spans="8:10" x14ac:dyDescent="0.3">
      <c r="H661"/>
      <c r="I661"/>
      <c r="J661"/>
    </row>
    <row r="662" spans="8:10" x14ac:dyDescent="0.3">
      <c r="H662"/>
      <c r="I662"/>
      <c r="J662"/>
    </row>
    <row r="663" spans="8:10" x14ac:dyDescent="0.3">
      <c r="H663"/>
      <c r="I663"/>
      <c r="J663"/>
    </row>
    <row r="664" spans="8:10" x14ac:dyDescent="0.3">
      <c r="H664"/>
      <c r="I664"/>
      <c r="J664"/>
    </row>
    <row r="665" spans="8:10" x14ac:dyDescent="0.3">
      <c r="H665"/>
      <c r="I665"/>
      <c r="J665"/>
    </row>
    <row r="666" spans="8:10" x14ac:dyDescent="0.3">
      <c r="H666"/>
      <c r="I666"/>
      <c r="J666"/>
    </row>
    <row r="667" spans="8:10" x14ac:dyDescent="0.3">
      <c r="H667"/>
      <c r="I667"/>
      <c r="J667"/>
    </row>
    <row r="668" spans="8:10" x14ac:dyDescent="0.3">
      <c r="H668"/>
      <c r="I668"/>
      <c r="J668"/>
    </row>
    <row r="669" spans="8:10" x14ac:dyDescent="0.3">
      <c r="H669"/>
      <c r="I669"/>
      <c r="J669"/>
    </row>
    <row r="670" spans="8:10" x14ac:dyDescent="0.3">
      <c r="H670"/>
      <c r="I670"/>
      <c r="J670"/>
    </row>
    <row r="671" spans="8:10" x14ac:dyDescent="0.3">
      <c r="H671"/>
      <c r="I671"/>
      <c r="J671"/>
    </row>
    <row r="672" spans="8:10" x14ac:dyDescent="0.3">
      <c r="H672"/>
      <c r="I672"/>
      <c r="J672"/>
    </row>
    <row r="673" spans="8:10" x14ac:dyDescent="0.3">
      <c r="H673"/>
      <c r="I673"/>
      <c r="J673"/>
    </row>
    <row r="674" spans="8:10" x14ac:dyDescent="0.3">
      <c r="H674"/>
      <c r="I674"/>
      <c r="J674"/>
    </row>
    <row r="675" spans="8:10" x14ac:dyDescent="0.3">
      <c r="H675"/>
      <c r="I675"/>
      <c r="J675"/>
    </row>
    <row r="676" spans="8:10" x14ac:dyDescent="0.3">
      <c r="H676"/>
      <c r="I676"/>
      <c r="J676"/>
    </row>
    <row r="677" spans="8:10" x14ac:dyDescent="0.3">
      <c r="H677"/>
      <c r="I677"/>
      <c r="J677"/>
    </row>
    <row r="678" spans="8:10" x14ac:dyDescent="0.3">
      <c r="H678"/>
      <c r="I678"/>
      <c r="J678"/>
    </row>
    <row r="679" spans="8:10" x14ac:dyDescent="0.3">
      <c r="H679"/>
      <c r="I679"/>
      <c r="J679"/>
    </row>
    <row r="680" spans="8:10" x14ac:dyDescent="0.3">
      <c r="H680"/>
      <c r="I680"/>
      <c r="J680"/>
    </row>
    <row r="681" spans="8:10" x14ac:dyDescent="0.3">
      <c r="H681"/>
      <c r="I681"/>
      <c r="J681"/>
    </row>
    <row r="682" spans="8:10" x14ac:dyDescent="0.3">
      <c r="H682"/>
      <c r="I682"/>
      <c r="J682"/>
    </row>
    <row r="683" spans="8:10" x14ac:dyDescent="0.3">
      <c r="H683"/>
      <c r="I683"/>
      <c r="J683"/>
    </row>
    <row r="684" spans="8:10" x14ac:dyDescent="0.3">
      <c r="H684"/>
      <c r="I684"/>
      <c r="J684"/>
    </row>
    <row r="685" spans="8:10" x14ac:dyDescent="0.3">
      <c r="H685"/>
      <c r="I685"/>
      <c r="J685"/>
    </row>
    <row r="686" spans="8:10" x14ac:dyDescent="0.3">
      <c r="H686"/>
      <c r="I686"/>
      <c r="J686"/>
    </row>
    <row r="687" spans="8:10" x14ac:dyDescent="0.3">
      <c r="H687"/>
      <c r="I687"/>
      <c r="J687"/>
    </row>
    <row r="688" spans="8:10" x14ac:dyDescent="0.3">
      <c r="H688"/>
      <c r="I688"/>
      <c r="J688"/>
    </row>
    <row r="689" spans="8:10" x14ac:dyDescent="0.3">
      <c r="H689"/>
      <c r="I689"/>
      <c r="J689"/>
    </row>
    <row r="690" spans="8:10" x14ac:dyDescent="0.3">
      <c r="H690"/>
      <c r="I690"/>
      <c r="J690"/>
    </row>
    <row r="691" spans="8:10" x14ac:dyDescent="0.3">
      <c r="H691"/>
      <c r="I691"/>
      <c r="J691"/>
    </row>
    <row r="692" spans="8:10" x14ac:dyDescent="0.3">
      <c r="H692"/>
      <c r="I692"/>
      <c r="J692"/>
    </row>
    <row r="693" spans="8:10" x14ac:dyDescent="0.3">
      <c r="H693"/>
      <c r="I693"/>
      <c r="J693"/>
    </row>
    <row r="694" spans="8:10" x14ac:dyDescent="0.3">
      <c r="H694"/>
      <c r="I694"/>
      <c r="J694"/>
    </row>
    <row r="695" spans="8:10" x14ac:dyDescent="0.3">
      <c r="H695"/>
      <c r="I695"/>
      <c r="J695"/>
    </row>
    <row r="696" spans="8:10" x14ac:dyDescent="0.3">
      <c r="H696"/>
      <c r="I696"/>
      <c r="J696"/>
    </row>
    <row r="697" spans="8:10" x14ac:dyDescent="0.3">
      <c r="H697"/>
      <c r="I697"/>
      <c r="J697"/>
    </row>
    <row r="698" spans="8:10" x14ac:dyDescent="0.3">
      <c r="H698"/>
      <c r="I698"/>
      <c r="J698"/>
    </row>
    <row r="699" spans="8:10" x14ac:dyDescent="0.3">
      <c r="H699"/>
      <c r="I699"/>
      <c r="J699"/>
    </row>
    <row r="700" spans="8:10" x14ac:dyDescent="0.3">
      <c r="H700"/>
      <c r="I700"/>
      <c r="J700"/>
    </row>
    <row r="701" spans="8:10" x14ac:dyDescent="0.3">
      <c r="H701"/>
      <c r="I701"/>
      <c r="J701"/>
    </row>
    <row r="702" spans="8:10" x14ac:dyDescent="0.3">
      <c r="H702"/>
      <c r="I702"/>
      <c r="J702"/>
    </row>
    <row r="703" spans="8:10" x14ac:dyDescent="0.3">
      <c r="H703"/>
      <c r="I703"/>
      <c r="J703"/>
    </row>
    <row r="704" spans="8:10" x14ac:dyDescent="0.3">
      <c r="H704"/>
      <c r="I704"/>
      <c r="J704"/>
    </row>
    <row r="705" spans="8:10" x14ac:dyDescent="0.3">
      <c r="H705"/>
      <c r="I705"/>
      <c r="J705"/>
    </row>
    <row r="706" spans="8:10" x14ac:dyDescent="0.3">
      <c r="H706"/>
      <c r="I706"/>
      <c r="J706"/>
    </row>
    <row r="707" spans="8:10" x14ac:dyDescent="0.3">
      <c r="H707"/>
      <c r="I707"/>
      <c r="J707"/>
    </row>
    <row r="708" spans="8:10" x14ac:dyDescent="0.3">
      <c r="H708"/>
      <c r="I708"/>
      <c r="J708"/>
    </row>
    <row r="709" spans="8:10" x14ac:dyDescent="0.3">
      <c r="H709"/>
      <c r="I709"/>
      <c r="J709"/>
    </row>
    <row r="710" spans="8:10" x14ac:dyDescent="0.3">
      <c r="H710"/>
      <c r="I710"/>
      <c r="J710"/>
    </row>
    <row r="711" spans="8:10" x14ac:dyDescent="0.3">
      <c r="H711"/>
      <c r="I711"/>
      <c r="J711"/>
    </row>
    <row r="712" spans="8:10" x14ac:dyDescent="0.3">
      <c r="H712"/>
      <c r="I712"/>
      <c r="J712"/>
    </row>
    <row r="713" spans="8:10" x14ac:dyDescent="0.3">
      <c r="H713"/>
      <c r="I713"/>
      <c r="J713"/>
    </row>
    <row r="714" spans="8:10" x14ac:dyDescent="0.3">
      <c r="H714"/>
      <c r="I714"/>
      <c r="J714"/>
    </row>
    <row r="715" spans="8:10" x14ac:dyDescent="0.3">
      <c r="H715"/>
      <c r="I715"/>
      <c r="J715"/>
    </row>
    <row r="716" spans="8:10" x14ac:dyDescent="0.3">
      <c r="H716"/>
      <c r="I716"/>
      <c r="J716"/>
    </row>
    <row r="717" spans="8:10" x14ac:dyDescent="0.3">
      <c r="H717"/>
      <c r="I717"/>
      <c r="J717"/>
    </row>
    <row r="718" spans="8:10" x14ac:dyDescent="0.3">
      <c r="H718"/>
      <c r="I718"/>
      <c r="J718"/>
    </row>
    <row r="719" spans="8:10" x14ac:dyDescent="0.3">
      <c r="H719"/>
      <c r="I719"/>
      <c r="J719"/>
    </row>
    <row r="720" spans="8:10" x14ac:dyDescent="0.3">
      <c r="H720"/>
      <c r="I720"/>
      <c r="J720"/>
    </row>
    <row r="721" spans="8:10" x14ac:dyDescent="0.3">
      <c r="H721"/>
      <c r="I721"/>
      <c r="J721"/>
    </row>
    <row r="722" spans="8:10" x14ac:dyDescent="0.3">
      <c r="H722"/>
      <c r="I722"/>
      <c r="J722"/>
    </row>
    <row r="723" spans="8:10" x14ac:dyDescent="0.3">
      <c r="H723"/>
      <c r="I723"/>
      <c r="J723"/>
    </row>
    <row r="724" spans="8:10" x14ac:dyDescent="0.3">
      <c r="H724"/>
      <c r="I724"/>
      <c r="J724"/>
    </row>
    <row r="725" spans="8:10" x14ac:dyDescent="0.3">
      <c r="H725"/>
      <c r="I725"/>
      <c r="J725"/>
    </row>
    <row r="726" spans="8:10" x14ac:dyDescent="0.3">
      <c r="H726"/>
      <c r="I726"/>
      <c r="J726"/>
    </row>
    <row r="727" spans="8:10" x14ac:dyDescent="0.3">
      <c r="H727"/>
      <c r="I727"/>
      <c r="J727"/>
    </row>
    <row r="728" spans="8:10" x14ac:dyDescent="0.3">
      <c r="H728"/>
      <c r="I728"/>
      <c r="J728"/>
    </row>
    <row r="729" spans="8:10" x14ac:dyDescent="0.3">
      <c r="H729"/>
      <c r="I729"/>
      <c r="J729"/>
    </row>
    <row r="730" spans="8:10" x14ac:dyDescent="0.3">
      <c r="H730"/>
      <c r="I730"/>
      <c r="J730"/>
    </row>
    <row r="731" spans="8:10" x14ac:dyDescent="0.3">
      <c r="H731"/>
      <c r="I731"/>
      <c r="J731"/>
    </row>
    <row r="732" spans="8:10" x14ac:dyDescent="0.3">
      <c r="H732"/>
      <c r="I732"/>
      <c r="J732"/>
    </row>
    <row r="733" spans="8:10" x14ac:dyDescent="0.3">
      <c r="H733"/>
      <c r="I733"/>
      <c r="J733"/>
    </row>
    <row r="734" spans="8:10" x14ac:dyDescent="0.3">
      <c r="H734"/>
      <c r="I734"/>
      <c r="J734"/>
    </row>
    <row r="735" spans="8:10" x14ac:dyDescent="0.3">
      <c r="H735"/>
      <c r="I735"/>
      <c r="J735"/>
    </row>
    <row r="736" spans="8:10" x14ac:dyDescent="0.3">
      <c r="H736"/>
      <c r="I736"/>
      <c r="J736"/>
    </row>
    <row r="737" spans="8:10" x14ac:dyDescent="0.3">
      <c r="H737"/>
      <c r="I737"/>
      <c r="J737"/>
    </row>
    <row r="738" spans="8:10" x14ac:dyDescent="0.3">
      <c r="H738"/>
      <c r="I738"/>
      <c r="J738"/>
    </row>
    <row r="739" spans="8:10" x14ac:dyDescent="0.3">
      <c r="H739"/>
      <c r="I739"/>
      <c r="J739"/>
    </row>
    <row r="740" spans="8:10" x14ac:dyDescent="0.3">
      <c r="H740"/>
      <c r="I740"/>
      <c r="J740"/>
    </row>
    <row r="741" spans="8:10" x14ac:dyDescent="0.3">
      <c r="H741"/>
      <c r="I741"/>
      <c r="J741"/>
    </row>
    <row r="742" spans="8:10" x14ac:dyDescent="0.3">
      <c r="H742"/>
      <c r="I742"/>
      <c r="J742"/>
    </row>
    <row r="743" spans="8:10" x14ac:dyDescent="0.3">
      <c r="H743"/>
      <c r="I743"/>
      <c r="J743"/>
    </row>
    <row r="744" spans="8:10" x14ac:dyDescent="0.3">
      <c r="H744"/>
      <c r="I744"/>
      <c r="J744"/>
    </row>
    <row r="745" spans="8:10" x14ac:dyDescent="0.3">
      <c r="H745"/>
      <c r="I745"/>
      <c r="J745"/>
    </row>
    <row r="746" spans="8:10" x14ac:dyDescent="0.3">
      <c r="H746"/>
      <c r="I746"/>
      <c r="J746"/>
    </row>
    <row r="747" spans="8:10" x14ac:dyDescent="0.3">
      <c r="H747"/>
      <c r="I747"/>
      <c r="J747"/>
    </row>
    <row r="748" spans="8:10" x14ac:dyDescent="0.3">
      <c r="H748"/>
      <c r="I748"/>
      <c r="J748"/>
    </row>
    <row r="749" spans="8:10" x14ac:dyDescent="0.3">
      <c r="H749"/>
      <c r="I749"/>
      <c r="J749"/>
    </row>
    <row r="750" spans="8:10" x14ac:dyDescent="0.3">
      <c r="H750"/>
      <c r="I750"/>
      <c r="J750"/>
    </row>
    <row r="751" spans="8:10" x14ac:dyDescent="0.3">
      <c r="H751"/>
      <c r="I751"/>
      <c r="J751"/>
    </row>
    <row r="752" spans="8:10" x14ac:dyDescent="0.3">
      <c r="H752"/>
      <c r="I752"/>
      <c r="J752"/>
    </row>
    <row r="753" spans="8:10" x14ac:dyDescent="0.3">
      <c r="H753"/>
      <c r="I753"/>
      <c r="J753"/>
    </row>
    <row r="754" spans="8:10" x14ac:dyDescent="0.3">
      <c r="H754"/>
      <c r="I754"/>
      <c r="J754"/>
    </row>
    <row r="755" spans="8:10" x14ac:dyDescent="0.3">
      <c r="H755"/>
      <c r="I755"/>
      <c r="J755"/>
    </row>
    <row r="756" spans="8:10" x14ac:dyDescent="0.3">
      <c r="H756"/>
      <c r="I756"/>
      <c r="J756"/>
    </row>
    <row r="757" spans="8:10" x14ac:dyDescent="0.3">
      <c r="H757"/>
      <c r="I757"/>
      <c r="J757"/>
    </row>
    <row r="758" spans="8:10" x14ac:dyDescent="0.3">
      <c r="H758"/>
      <c r="I758"/>
      <c r="J758"/>
    </row>
    <row r="759" spans="8:10" x14ac:dyDescent="0.3">
      <c r="H759"/>
      <c r="I759"/>
      <c r="J759"/>
    </row>
    <row r="760" spans="8:10" x14ac:dyDescent="0.3">
      <c r="H760"/>
      <c r="I760"/>
      <c r="J760"/>
    </row>
    <row r="761" spans="8:10" x14ac:dyDescent="0.3">
      <c r="H761"/>
      <c r="I761"/>
      <c r="J761"/>
    </row>
    <row r="762" spans="8:10" x14ac:dyDescent="0.3">
      <c r="H762"/>
      <c r="I762"/>
      <c r="J762"/>
    </row>
    <row r="763" spans="8:10" x14ac:dyDescent="0.3">
      <c r="H763"/>
      <c r="I763"/>
      <c r="J763"/>
    </row>
    <row r="764" spans="8:10" x14ac:dyDescent="0.3">
      <c r="H764"/>
      <c r="I764"/>
      <c r="J764"/>
    </row>
    <row r="765" spans="8:10" x14ac:dyDescent="0.3">
      <c r="H765"/>
      <c r="I765"/>
      <c r="J765"/>
    </row>
    <row r="766" spans="8:10" x14ac:dyDescent="0.3">
      <c r="H766"/>
      <c r="I766"/>
      <c r="J766"/>
    </row>
    <row r="767" spans="8:10" x14ac:dyDescent="0.3">
      <c r="H767"/>
      <c r="I767"/>
      <c r="J767"/>
    </row>
    <row r="768" spans="8:10" x14ac:dyDescent="0.3">
      <c r="H768"/>
      <c r="I768"/>
      <c r="J768"/>
    </row>
    <row r="769" spans="8:10" x14ac:dyDescent="0.3">
      <c r="H769"/>
      <c r="I769"/>
      <c r="J769"/>
    </row>
    <row r="770" spans="8:10" x14ac:dyDescent="0.3">
      <c r="H770"/>
      <c r="I770"/>
      <c r="J770"/>
    </row>
    <row r="771" spans="8:10" x14ac:dyDescent="0.3">
      <c r="H771"/>
      <c r="I771"/>
      <c r="J771"/>
    </row>
    <row r="772" spans="8:10" x14ac:dyDescent="0.3">
      <c r="H772"/>
      <c r="I772"/>
      <c r="J772"/>
    </row>
    <row r="773" spans="8:10" x14ac:dyDescent="0.3">
      <c r="H773"/>
      <c r="I773"/>
      <c r="J773"/>
    </row>
    <row r="774" spans="8:10" x14ac:dyDescent="0.3">
      <c r="H774"/>
      <c r="I774"/>
      <c r="J774"/>
    </row>
    <row r="775" spans="8:10" x14ac:dyDescent="0.3">
      <c r="H775"/>
      <c r="I775"/>
      <c r="J775"/>
    </row>
    <row r="776" spans="8:10" x14ac:dyDescent="0.3">
      <c r="H776"/>
      <c r="I776"/>
      <c r="J776"/>
    </row>
    <row r="777" spans="8:10" x14ac:dyDescent="0.3">
      <c r="H777"/>
      <c r="I777"/>
      <c r="J777"/>
    </row>
    <row r="778" spans="8:10" x14ac:dyDescent="0.3">
      <c r="H778"/>
      <c r="I778"/>
      <c r="J778"/>
    </row>
    <row r="779" spans="8:10" x14ac:dyDescent="0.3">
      <c r="H779"/>
      <c r="I779"/>
      <c r="J779"/>
    </row>
    <row r="780" spans="8:10" x14ac:dyDescent="0.3">
      <c r="H780"/>
      <c r="I780"/>
      <c r="J780"/>
    </row>
    <row r="781" spans="8:10" x14ac:dyDescent="0.3">
      <c r="H781"/>
      <c r="I781"/>
      <c r="J781"/>
    </row>
    <row r="782" spans="8:10" x14ac:dyDescent="0.3">
      <c r="H782"/>
      <c r="I782"/>
      <c r="J782"/>
    </row>
    <row r="783" spans="8:10" x14ac:dyDescent="0.3">
      <c r="H783"/>
      <c r="I783"/>
      <c r="J783"/>
    </row>
    <row r="784" spans="8:10" x14ac:dyDescent="0.3">
      <c r="H784"/>
      <c r="I784"/>
      <c r="J784"/>
    </row>
    <row r="785" spans="8:10" x14ac:dyDescent="0.3">
      <c r="H785"/>
      <c r="I785"/>
      <c r="J785"/>
    </row>
    <row r="786" spans="8:10" x14ac:dyDescent="0.3">
      <c r="H786"/>
      <c r="I786"/>
      <c r="J786"/>
    </row>
    <row r="787" spans="8:10" x14ac:dyDescent="0.3">
      <c r="H787"/>
      <c r="I787"/>
      <c r="J787"/>
    </row>
    <row r="788" spans="8:10" x14ac:dyDescent="0.3">
      <c r="H788"/>
      <c r="I788"/>
      <c r="J788"/>
    </row>
    <row r="789" spans="8:10" x14ac:dyDescent="0.3">
      <c r="H789"/>
      <c r="I789"/>
      <c r="J789"/>
    </row>
    <row r="790" spans="8:10" x14ac:dyDescent="0.3">
      <c r="H790"/>
      <c r="I790"/>
      <c r="J790"/>
    </row>
    <row r="791" spans="8:10" x14ac:dyDescent="0.3">
      <c r="H791"/>
      <c r="I791"/>
      <c r="J791"/>
    </row>
    <row r="792" spans="8:10" x14ac:dyDescent="0.3">
      <c r="H792"/>
      <c r="I792"/>
      <c r="J792"/>
    </row>
    <row r="793" spans="8:10" x14ac:dyDescent="0.3">
      <c r="H793"/>
      <c r="I793"/>
      <c r="J793"/>
    </row>
    <row r="794" spans="8:10" x14ac:dyDescent="0.3">
      <c r="H794"/>
      <c r="I794"/>
      <c r="J794"/>
    </row>
    <row r="795" spans="8:10" x14ac:dyDescent="0.3">
      <c r="H795"/>
      <c r="I795"/>
      <c r="J795"/>
    </row>
    <row r="796" spans="8:10" x14ac:dyDescent="0.3">
      <c r="H796"/>
      <c r="I796"/>
      <c r="J796"/>
    </row>
    <row r="797" spans="8:10" x14ac:dyDescent="0.3">
      <c r="H797"/>
      <c r="I797"/>
      <c r="J797"/>
    </row>
    <row r="798" spans="8:10" x14ac:dyDescent="0.3">
      <c r="H798"/>
      <c r="I798"/>
      <c r="J798"/>
    </row>
    <row r="799" spans="8:10" x14ac:dyDescent="0.3">
      <c r="H799"/>
      <c r="I799"/>
      <c r="J799"/>
    </row>
    <row r="800" spans="8:10" x14ac:dyDescent="0.3">
      <c r="H800"/>
      <c r="I800"/>
      <c r="J800"/>
    </row>
    <row r="801" spans="8:10" x14ac:dyDescent="0.3">
      <c r="H801"/>
      <c r="I801"/>
      <c r="J801"/>
    </row>
    <row r="802" spans="8:10" x14ac:dyDescent="0.3">
      <c r="H802"/>
      <c r="I802"/>
      <c r="J802"/>
    </row>
    <row r="803" spans="8:10" x14ac:dyDescent="0.3">
      <c r="H803"/>
      <c r="I803"/>
      <c r="J803"/>
    </row>
    <row r="804" spans="8:10" x14ac:dyDescent="0.3">
      <c r="H804"/>
      <c r="I804"/>
      <c r="J804"/>
    </row>
    <row r="805" spans="8:10" x14ac:dyDescent="0.3">
      <c r="H805"/>
      <c r="I805"/>
      <c r="J805"/>
    </row>
    <row r="806" spans="8:10" x14ac:dyDescent="0.3">
      <c r="H806"/>
      <c r="I806"/>
      <c r="J806"/>
    </row>
    <row r="807" spans="8:10" x14ac:dyDescent="0.3">
      <c r="H807"/>
      <c r="I807"/>
      <c r="J807"/>
    </row>
    <row r="808" spans="8:10" x14ac:dyDescent="0.3">
      <c r="H808"/>
      <c r="I808"/>
      <c r="J808"/>
    </row>
    <row r="809" spans="8:10" x14ac:dyDescent="0.3">
      <c r="H809"/>
      <c r="I809"/>
      <c r="J809"/>
    </row>
    <row r="810" spans="8:10" x14ac:dyDescent="0.3">
      <c r="H810"/>
      <c r="I810"/>
      <c r="J810"/>
    </row>
    <row r="811" spans="8:10" x14ac:dyDescent="0.3">
      <c r="H811"/>
      <c r="I811"/>
      <c r="J811"/>
    </row>
    <row r="812" spans="8:10" x14ac:dyDescent="0.3">
      <c r="H812"/>
      <c r="I812"/>
      <c r="J812"/>
    </row>
    <row r="813" spans="8:10" x14ac:dyDescent="0.3">
      <c r="H813"/>
      <c r="I813"/>
      <c r="J813"/>
    </row>
    <row r="814" spans="8:10" x14ac:dyDescent="0.3">
      <c r="H814"/>
      <c r="I814"/>
      <c r="J814"/>
    </row>
    <row r="815" spans="8:10" x14ac:dyDescent="0.3">
      <c r="H815"/>
      <c r="I815"/>
      <c r="J815"/>
    </row>
    <row r="816" spans="8:10" x14ac:dyDescent="0.3">
      <c r="H816"/>
      <c r="I816"/>
      <c r="J816"/>
    </row>
    <row r="817" spans="8:10" x14ac:dyDescent="0.3">
      <c r="H817"/>
      <c r="I817"/>
      <c r="J817"/>
    </row>
    <row r="818" spans="8:10" x14ac:dyDescent="0.3">
      <c r="H818"/>
      <c r="I818"/>
      <c r="J818"/>
    </row>
    <row r="819" spans="8:10" x14ac:dyDescent="0.3">
      <c r="H819"/>
      <c r="I819"/>
      <c r="J819"/>
    </row>
    <row r="820" spans="8:10" x14ac:dyDescent="0.3">
      <c r="H820"/>
      <c r="I820"/>
      <c r="J820"/>
    </row>
    <row r="821" spans="8:10" x14ac:dyDescent="0.3">
      <c r="H821"/>
      <c r="I821"/>
      <c r="J821"/>
    </row>
    <row r="822" spans="8:10" x14ac:dyDescent="0.3">
      <c r="H822"/>
      <c r="I822"/>
      <c r="J822"/>
    </row>
    <row r="823" spans="8:10" x14ac:dyDescent="0.3">
      <c r="H823"/>
      <c r="I823"/>
      <c r="J823"/>
    </row>
    <row r="824" spans="8:10" x14ac:dyDescent="0.3">
      <c r="H824"/>
      <c r="I824"/>
      <c r="J824"/>
    </row>
    <row r="825" spans="8:10" x14ac:dyDescent="0.3">
      <c r="H825"/>
      <c r="I825"/>
      <c r="J825"/>
    </row>
    <row r="826" spans="8:10" x14ac:dyDescent="0.3">
      <c r="H826"/>
      <c r="I826"/>
      <c r="J826"/>
    </row>
    <row r="827" spans="8:10" x14ac:dyDescent="0.3">
      <c r="H827"/>
      <c r="I827"/>
      <c r="J827"/>
    </row>
    <row r="828" spans="8:10" x14ac:dyDescent="0.3">
      <c r="H828"/>
      <c r="I828"/>
      <c r="J828"/>
    </row>
    <row r="829" spans="8:10" x14ac:dyDescent="0.3">
      <c r="H829"/>
      <c r="I829"/>
      <c r="J829"/>
    </row>
    <row r="830" spans="8:10" x14ac:dyDescent="0.3">
      <c r="H830"/>
      <c r="I830"/>
      <c r="J830"/>
    </row>
    <row r="831" spans="8:10" x14ac:dyDescent="0.3">
      <c r="H831"/>
      <c r="I831"/>
      <c r="J831"/>
    </row>
    <row r="832" spans="8:10" x14ac:dyDescent="0.3">
      <c r="H832"/>
      <c r="I832"/>
      <c r="J832"/>
    </row>
    <row r="833" spans="8:10" x14ac:dyDescent="0.3">
      <c r="H833"/>
      <c r="I833"/>
      <c r="J833"/>
    </row>
    <row r="834" spans="8:10" x14ac:dyDescent="0.3">
      <c r="H834"/>
      <c r="I834"/>
      <c r="J834"/>
    </row>
    <row r="835" spans="8:10" x14ac:dyDescent="0.3">
      <c r="H835"/>
      <c r="I835"/>
      <c r="J835"/>
    </row>
    <row r="836" spans="8:10" x14ac:dyDescent="0.3">
      <c r="H836"/>
      <c r="I836"/>
      <c r="J836"/>
    </row>
    <row r="837" spans="8:10" x14ac:dyDescent="0.3">
      <c r="H837"/>
      <c r="I837"/>
      <c r="J837"/>
    </row>
    <row r="838" spans="8:10" x14ac:dyDescent="0.3">
      <c r="H838"/>
      <c r="I838"/>
      <c r="J838"/>
    </row>
    <row r="839" spans="8:10" x14ac:dyDescent="0.3">
      <c r="H839"/>
      <c r="I839"/>
      <c r="J839"/>
    </row>
    <row r="840" spans="8:10" x14ac:dyDescent="0.3">
      <c r="H840"/>
      <c r="I840"/>
      <c r="J840"/>
    </row>
    <row r="841" spans="8:10" x14ac:dyDescent="0.3">
      <c r="H841"/>
      <c r="I841"/>
      <c r="J841"/>
    </row>
    <row r="842" spans="8:10" x14ac:dyDescent="0.3">
      <c r="H842"/>
      <c r="I842"/>
      <c r="J842"/>
    </row>
    <row r="843" spans="8:10" x14ac:dyDescent="0.3">
      <c r="H843"/>
      <c r="I843"/>
      <c r="J843"/>
    </row>
    <row r="844" spans="8:10" x14ac:dyDescent="0.3">
      <c r="H844"/>
      <c r="I844"/>
      <c r="J844"/>
    </row>
    <row r="845" spans="8:10" x14ac:dyDescent="0.3">
      <c r="H845"/>
      <c r="I845"/>
      <c r="J845"/>
    </row>
    <row r="846" spans="8:10" x14ac:dyDescent="0.3">
      <c r="H846"/>
      <c r="I846"/>
      <c r="J846"/>
    </row>
    <row r="847" spans="8:10" x14ac:dyDescent="0.3">
      <c r="H847"/>
      <c r="I847"/>
      <c r="J847"/>
    </row>
    <row r="848" spans="8:10" x14ac:dyDescent="0.3">
      <c r="H848"/>
      <c r="I848"/>
      <c r="J848"/>
    </row>
    <row r="849" spans="8:10" x14ac:dyDescent="0.3">
      <c r="H849"/>
      <c r="I849"/>
      <c r="J849"/>
    </row>
    <row r="850" spans="8:10" x14ac:dyDescent="0.3">
      <c r="H850"/>
      <c r="I850"/>
      <c r="J850"/>
    </row>
    <row r="851" spans="8:10" x14ac:dyDescent="0.3">
      <c r="H851"/>
      <c r="I851"/>
      <c r="J851"/>
    </row>
    <row r="852" spans="8:10" x14ac:dyDescent="0.3">
      <c r="H852"/>
      <c r="I852"/>
      <c r="J852"/>
    </row>
    <row r="853" spans="8:10" x14ac:dyDescent="0.3">
      <c r="H853"/>
      <c r="I853"/>
      <c r="J853"/>
    </row>
    <row r="854" spans="8:10" x14ac:dyDescent="0.3">
      <c r="H854"/>
      <c r="I854"/>
      <c r="J854"/>
    </row>
    <row r="855" spans="8:10" x14ac:dyDescent="0.3">
      <c r="H855"/>
      <c r="I855"/>
      <c r="J855"/>
    </row>
    <row r="856" spans="8:10" x14ac:dyDescent="0.3">
      <c r="H856"/>
      <c r="I856"/>
      <c r="J856"/>
    </row>
    <row r="857" spans="8:10" x14ac:dyDescent="0.3">
      <c r="H857"/>
      <c r="I857"/>
      <c r="J857"/>
    </row>
    <row r="858" spans="8:10" x14ac:dyDescent="0.3">
      <c r="H858"/>
      <c r="I858"/>
      <c r="J858"/>
    </row>
    <row r="859" spans="8:10" x14ac:dyDescent="0.3">
      <c r="H859"/>
      <c r="I859"/>
      <c r="J859"/>
    </row>
    <row r="860" spans="8:10" x14ac:dyDescent="0.3">
      <c r="H860"/>
      <c r="I860"/>
      <c r="J860"/>
    </row>
    <row r="861" spans="8:10" x14ac:dyDescent="0.3">
      <c r="H861"/>
      <c r="I861"/>
      <c r="J861"/>
    </row>
    <row r="862" spans="8:10" x14ac:dyDescent="0.3">
      <c r="H862"/>
      <c r="I862"/>
      <c r="J862"/>
    </row>
    <row r="863" spans="8:10" x14ac:dyDescent="0.3">
      <c r="H863"/>
      <c r="I863"/>
      <c r="J863"/>
    </row>
    <row r="864" spans="8:10" x14ac:dyDescent="0.3">
      <c r="H864"/>
      <c r="I864"/>
      <c r="J864"/>
    </row>
    <row r="865" spans="8:10" x14ac:dyDescent="0.3">
      <c r="H865"/>
      <c r="I865"/>
      <c r="J865"/>
    </row>
    <row r="866" spans="8:10" x14ac:dyDescent="0.3">
      <c r="H866"/>
      <c r="I866"/>
      <c r="J866"/>
    </row>
    <row r="867" spans="8:10" x14ac:dyDescent="0.3">
      <c r="H867"/>
      <c r="I867"/>
      <c r="J867"/>
    </row>
    <row r="868" spans="8:10" x14ac:dyDescent="0.3">
      <c r="H868"/>
      <c r="I868"/>
      <c r="J868"/>
    </row>
    <row r="869" spans="8:10" x14ac:dyDescent="0.3">
      <c r="H869"/>
      <c r="I869"/>
      <c r="J869"/>
    </row>
    <row r="870" spans="8:10" x14ac:dyDescent="0.3">
      <c r="H870"/>
      <c r="I870"/>
      <c r="J870"/>
    </row>
    <row r="871" spans="8:10" x14ac:dyDescent="0.3">
      <c r="H871"/>
      <c r="I871"/>
      <c r="J871"/>
    </row>
    <row r="872" spans="8:10" x14ac:dyDescent="0.3">
      <c r="H872"/>
      <c r="I872"/>
      <c r="J872"/>
    </row>
    <row r="873" spans="8:10" x14ac:dyDescent="0.3">
      <c r="H873"/>
      <c r="I873"/>
      <c r="J873"/>
    </row>
    <row r="874" spans="8:10" x14ac:dyDescent="0.3">
      <c r="H874"/>
      <c r="I874"/>
      <c r="J874"/>
    </row>
    <row r="875" spans="8:10" x14ac:dyDescent="0.3">
      <c r="H875"/>
      <c r="I875"/>
      <c r="J875"/>
    </row>
    <row r="876" spans="8:10" x14ac:dyDescent="0.3">
      <c r="H876"/>
      <c r="I876"/>
      <c r="J876"/>
    </row>
    <row r="877" spans="8:10" x14ac:dyDescent="0.3">
      <c r="H877"/>
      <c r="I877"/>
      <c r="J877"/>
    </row>
    <row r="878" spans="8:10" x14ac:dyDescent="0.3">
      <c r="H878"/>
      <c r="I878"/>
      <c r="J878"/>
    </row>
    <row r="879" spans="8:10" x14ac:dyDescent="0.3">
      <c r="H879"/>
      <c r="I879"/>
      <c r="J879"/>
    </row>
    <row r="880" spans="8:10" x14ac:dyDescent="0.3">
      <c r="H880"/>
      <c r="I880"/>
      <c r="J880"/>
    </row>
    <row r="881" spans="8:10" x14ac:dyDescent="0.3">
      <c r="H881"/>
      <c r="I881"/>
      <c r="J881"/>
    </row>
    <row r="882" spans="8:10" x14ac:dyDescent="0.3">
      <c r="H882"/>
      <c r="I882"/>
      <c r="J882"/>
    </row>
    <row r="883" spans="8:10" x14ac:dyDescent="0.3">
      <c r="H883"/>
      <c r="I883"/>
      <c r="J883"/>
    </row>
    <row r="884" spans="8:10" x14ac:dyDescent="0.3">
      <c r="H884"/>
      <c r="I884"/>
      <c r="J884"/>
    </row>
    <row r="885" spans="8:10" x14ac:dyDescent="0.3">
      <c r="H885"/>
      <c r="I885"/>
      <c r="J885"/>
    </row>
    <row r="886" spans="8:10" x14ac:dyDescent="0.3">
      <c r="H886"/>
      <c r="I886"/>
      <c r="J886"/>
    </row>
    <row r="887" spans="8:10" x14ac:dyDescent="0.3">
      <c r="H887"/>
      <c r="I887"/>
      <c r="J887"/>
    </row>
    <row r="888" spans="8:10" x14ac:dyDescent="0.3">
      <c r="H888"/>
      <c r="I888"/>
      <c r="J888"/>
    </row>
    <row r="889" spans="8:10" x14ac:dyDescent="0.3">
      <c r="H889"/>
      <c r="I889"/>
      <c r="J889"/>
    </row>
    <row r="890" spans="8:10" x14ac:dyDescent="0.3">
      <c r="H890"/>
      <c r="I890"/>
      <c r="J890"/>
    </row>
    <row r="891" spans="8:10" x14ac:dyDescent="0.3">
      <c r="H891"/>
      <c r="I891"/>
      <c r="J891"/>
    </row>
    <row r="892" spans="8:10" x14ac:dyDescent="0.3">
      <c r="H892"/>
      <c r="I892"/>
      <c r="J892"/>
    </row>
    <row r="893" spans="8:10" x14ac:dyDescent="0.3">
      <c r="H893"/>
      <c r="I893"/>
      <c r="J893"/>
    </row>
    <row r="894" spans="8:10" x14ac:dyDescent="0.3">
      <c r="H894"/>
      <c r="I894"/>
      <c r="J894"/>
    </row>
    <row r="895" spans="8:10" x14ac:dyDescent="0.3">
      <c r="H895"/>
      <c r="I895"/>
      <c r="J895"/>
    </row>
    <row r="896" spans="8:10" x14ac:dyDescent="0.3">
      <c r="H896"/>
      <c r="I896"/>
      <c r="J896"/>
    </row>
    <row r="897" spans="8:10" x14ac:dyDescent="0.3">
      <c r="H897"/>
      <c r="I897"/>
      <c r="J897"/>
    </row>
    <row r="898" spans="8:10" x14ac:dyDescent="0.3">
      <c r="H898"/>
      <c r="I898"/>
      <c r="J898"/>
    </row>
    <row r="899" spans="8:10" x14ac:dyDescent="0.3">
      <c r="H899"/>
      <c r="I899"/>
      <c r="J899"/>
    </row>
    <row r="900" spans="8:10" x14ac:dyDescent="0.3">
      <c r="H900"/>
      <c r="I900"/>
      <c r="J900"/>
    </row>
    <row r="901" spans="8:10" x14ac:dyDescent="0.3">
      <c r="H901"/>
      <c r="I901"/>
      <c r="J901"/>
    </row>
    <row r="902" spans="8:10" x14ac:dyDescent="0.3">
      <c r="H902"/>
      <c r="I902"/>
      <c r="J902"/>
    </row>
    <row r="903" spans="8:10" x14ac:dyDescent="0.3">
      <c r="H903"/>
      <c r="I903"/>
      <c r="J903"/>
    </row>
    <row r="904" spans="8:10" x14ac:dyDescent="0.3">
      <c r="H904"/>
      <c r="I904"/>
      <c r="J904"/>
    </row>
    <row r="905" spans="8:10" x14ac:dyDescent="0.3">
      <c r="H905"/>
      <c r="I905"/>
      <c r="J905"/>
    </row>
    <row r="906" spans="8:10" x14ac:dyDescent="0.3">
      <c r="H906"/>
      <c r="I906"/>
      <c r="J906"/>
    </row>
    <row r="907" spans="8:10" x14ac:dyDescent="0.3">
      <c r="H907"/>
      <c r="I907"/>
      <c r="J907"/>
    </row>
    <row r="908" spans="8:10" x14ac:dyDescent="0.3">
      <c r="H908"/>
      <c r="I908"/>
      <c r="J908"/>
    </row>
    <row r="909" spans="8:10" x14ac:dyDescent="0.3">
      <c r="H909"/>
      <c r="I909"/>
      <c r="J909"/>
    </row>
    <row r="910" spans="8:10" x14ac:dyDescent="0.3">
      <c r="H910"/>
      <c r="I910"/>
      <c r="J910"/>
    </row>
    <row r="911" spans="8:10" x14ac:dyDescent="0.3">
      <c r="H911"/>
      <c r="I911"/>
      <c r="J911"/>
    </row>
    <row r="912" spans="8:10" x14ac:dyDescent="0.3">
      <c r="H912"/>
      <c r="I912"/>
      <c r="J912"/>
    </row>
    <row r="913" spans="8:10" x14ac:dyDescent="0.3">
      <c r="H913"/>
      <c r="I913"/>
      <c r="J913"/>
    </row>
    <row r="914" spans="8:10" x14ac:dyDescent="0.3">
      <c r="H914"/>
      <c r="I914"/>
      <c r="J914"/>
    </row>
    <row r="915" spans="8:10" x14ac:dyDescent="0.3">
      <c r="H915"/>
      <c r="I915"/>
      <c r="J915"/>
    </row>
    <row r="916" spans="8:10" x14ac:dyDescent="0.3">
      <c r="H916"/>
      <c r="I916"/>
      <c r="J916"/>
    </row>
    <row r="917" spans="8:10" x14ac:dyDescent="0.3">
      <c r="H917"/>
      <c r="I917"/>
      <c r="J917"/>
    </row>
    <row r="918" spans="8:10" x14ac:dyDescent="0.3">
      <c r="H918"/>
      <c r="I918"/>
      <c r="J918"/>
    </row>
    <row r="919" spans="8:10" x14ac:dyDescent="0.3">
      <c r="H919"/>
      <c r="I919"/>
      <c r="J919"/>
    </row>
    <row r="920" spans="8:10" x14ac:dyDescent="0.3">
      <c r="H920"/>
      <c r="I920"/>
      <c r="J920"/>
    </row>
    <row r="921" spans="8:10" x14ac:dyDescent="0.3">
      <c r="H921"/>
      <c r="I921"/>
      <c r="J921"/>
    </row>
    <row r="922" spans="8:10" x14ac:dyDescent="0.3">
      <c r="H922"/>
      <c r="I922"/>
      <c r="J922"/>
    </row>
    <row r="923" spans="8:10" x14ac:dyDescent="0.3">
      <c r="H923"/>
      <c r="I923"/>
      <c r="J923"/>
    </row>
    <row r="924" spans="8:10" x14ac:dyDescent="0.3">
      <c r="H924"/>
      <c r="I924"/>
      <c r="J924"/>
    </row>
    <row r="925" spans="8:10" x14ac:dyDescent="0.3">
      <c r="H925"/>
      <c r="I925"/>
      <c r="J925"/>
    </row>
    <row r="926" spans="8:10" x14ac:dyDescent="0.3">
      <c r="H926"/>
      <c r="I926"/>
      <c r="J926"/>
    </row>
    <row r="927" spans="8:10" x14ac:dyDescent="0.3">
      <c r="H927"/>
      <c r="I927"/>
      <c r="J927"/>
    </row>
    <row r="928" spans="8:10" x14ac:dyDescent="0.3">
      <c r="H928"/>
      <c r="I928"/>
      <c r="J928"/>
    </row>
    <row r="929" spans="8:10" x14ac:dyDescent="0.3">
      <c r="H929"/>
      <c r="I929"/>
      <c r="J929"/>
    </row>
    <row r="930" spans="8:10" x14ac:dyDescent="0.3">
      <c r="H930"/>
      <c r="I930"/>
      <c r="J930"/>
    </row>
    <row r="931" spans="8:10" x14ac:dyDescent="0.3">
      <c r="H931"/>
      <c r="I931"/>
      <c r="J931"/>
    </row>
    <row r="932" spans="8:10" x14ac:dyDescent="0.3">
      <c r="H932"/>
      <c r="I932"/>
      <c r="J932"/>
    </row>
    <row r="933" spans="8:10" x14ac:dyDescent="0.3">
      <c r="H933"/>
      <c r="I933"/>
      <c r="J933"/>
    </row>
    <row r="934" spans="8:10" x14ac:dyDescent="0.3">
      <c r="H934"/>
      <c r="I934"/>
      <c r="J934"/>
    </row>
    <row r="935" spans="8:10" x14ac:dyDescent="0.3">
      <c r="H935"/>
      <c r="I935"/>
      <c r="J935"/>
    </row>
    <row r="936" spans="8:10" x14ac:dyDescent="0.3">
      <c r="H936"/>
      <c r="I936"/>
      <c r="J936"/>
    </row>
    <row r="937" spans="8:10" x14ac:dyDescent="0.3">
      <c r="H937"/>
      <c r="I937"/>
      <c r="J937"/>
    </row>
    <row r="938" spans="8:10" x14ac:dyDescent="0.3">
      <c r="H938"/>
      <c r="I938"/>
      <c r="J938"/>
    </row>
    <row r="939" spans="8:10" x14ac:dyDescent="0.3">
      <c r="H939"/>
      <c r="I939"/>
      <c r="J939"/>
    </row>
    <row r="940" spans="8:10" x14ac:dyDescent="0.3">
      <c r="H940"/>
      <c r="I940"/>
      <c r="J940"/>
    </row>
    <row r="941" spans="8:10" x14ac:dyDescent="0.3">
      <c r="H941"/>
      <c r="I941"/>
      <c r="J941"/>
    </row>
    <row r="942" spans="8:10" x14ac:dyDescent="0.3">
      <c r="H942"/>
      <c r="I942"/>
      <c r="J942"/>
    </row>
    <row r="943" spans="8:10" x14ac:dyDescent="0.3">
      <c r="H943"/>
      <c r="I943"/>
      <c r="J943"/>
    </row>
    <row r="944" spans="8:10" x14ac:dyDescent="0.3">
      <c r="H944"/>
      <c r="I944"/>
      <c r="J944"/>
    </row>
    <row r="945" spans="8:10" x14ac:dyDescent="0.3">
      <c r="H945"/>
      <c r="I945"/>
      <c r="J945"/>
    </row>
    <row r="946" spans="8:10" x14ac:dyDescent="0.3">
      <c r="H946"/>
      <c r="I946"/>
      <c r="J946"/>
    </row>
    <row r="947" spans="8:10" x14ac:dyDescent="0.3">
      <c r="H947"/>
      <c r="I947"/>
      <c r="J947"/>
    </row>
    <row r="948" spans="8:10" x14ac:dyDescent="0.3">
      <c r="H948"/>
      <c r="I948"/>
      <c r="J948"/>
    </row>
    <row r="949" spans="8:10" x14ac:dyDescent="0.3">
      <c r="H949"/>
      <c r="I949"/>
      <c r="J949"/>
    </row>
    <row r="950" spans="8:10" x14ac:dyDescent="0.3">
      <c r="H950"/>
      <c r="I950"/>
      <c r="J950"/>
    </row>
    <row r="951" spans="8:10" x14ac:dyDescent="0.3">
      <c r="H951"/>
      <c r="I951"/>
      <c r="J951"/>
    </row>
    <row r="952" spans="8:10" x14ac:dyDescent="0.3">
      <c r="H952"/>
      <c r="I952"/>
      <c r="J952"/>
    </row>
    <row r="953" spans="8:10" x14ac:dyDescent="0.3">
      <c r="H953"/>
      <c r="I953"/>
      <c r="J953"/>
    </row>
    <row r="954" spans="8:10" x14ac:dyDescent="0.3">
      <c r="H954"/>
      <c r="I954"/>
      <c r="J954"/>
    </row>
    <row r="955" spans="8:10" x14ac:dyDescent="0.3">
      <c r="H955"/>
      <c r="I955"/>
      <c r="J955"/>
    </row>
    <row r="956" spans="8:10" x14ac:dyDescent="0.3">
      <c r="H956"/>
      <c r="I956"/>
      <c r="J956"/>
    </row>
    <row r="957" spans="8:10" x14ac:dyDescent="0.3">
      <c r="H957"/>
      <c r="I957"/>
      <c r="J957"/>
    </row>
    <row r="958" spans="8:10" x14ac:dyDescent="0.3">
      <c r="H958"/>
      <c r="I958"/>
      <c r="J958"/>
    </row>
    <row r="959" spans="8:10" x14ac:dyDescent="0.3">
      <c r="H959"/>
      <c r="I959"/>
      <c r="J959"/>
    </row>
    <row r="960" spans="8:10" x14ac:dyDescent="0.3">
      <c r="H960"/>
      <c r="I960"/>
      <c r="J960"/>
    </row>
    <row r="961" spans="8:10" x14ac:dyDescent="0.3">
      <c r="H961"/>
      <c r="I961"/>
      <c r="J961"/>
    </row>
    <row r="962" spans="8:10" x14ac:dyDescent="0.3">
      <c r="H962"/>
      <c r="I962"/>
      <c r="J962"/>
    </row>
    <row r="963" spans="8:10" x14ac:dyDescent="0.3">
      <c r="H963"/>
      <c r="I963"/>
      <c r="J963"/>
    </row>
    <row r="964" spans="8:10" x14ac:dyDescent="0.3">
      <c r="H964"/>
      <c r="I964"/>
      <c r="J964"/>
    </row>
    <row r="965" spans="8:10" x14ac:dyDescent="0.3">
      <c r="H965"/>
      <c r="I965"/>
      <c r="J965"/>
    </row>
    <row r="966" spans="8:10" x14ac:dyDescent="0.3">
      <c r="H966"/>
      <c r="I966"/>
      <c r="J966"/>
    </row>
    <row r="967" spans="8:10" x14ac:dyDescent="0.3">
      <c r="H967"/>
      <c r="I967"/>
      <c r="J967"/>
    </row>
    <row r="968" spans="8:10" x14ac:dyDescent="0.3">
      <c r="H968"/>
      <c r="I968"/>
      <c r="J968"/>
    </row>
    <row r="969" spans="8:10" x14ac:dyDescent="0.3">
      <c r="H969"/>
      <c r="I969"/>
      <c r="J969"/>
    </row>
    <row r="970" spans="8:10" x14ac:dyDescent="0.3">
      <c r="H970"/>
      <c r="I970"/>
      <c r="J970"/>
    </row>
    <row r="971" spans="8:10" x14ac:dyDescent="0.3">
      <c r="H971"/>
      <c r="I971"/>
      <c r="J971"/>
    </row>
    <row r="972" spans="8:10" x14ac:dyDescent="0.3">
      <c r="H972"/>
      <c r="I972"/>
      <c r="J972"/>
    </row>
    <row r="973" spans="8:10" x14ac:dyDescent="0.3">
      <c r="H973"/>
      <c r="I973"/>
      <c r="J973"/>
    </row>
    <row r="974" spans="8:10" x14ac:dyDescent="0.3">
      <c r="H974"/>
      <c r="I974"/>
      <c r="J974"/>
    </row>
    <row r="975" spans="8:10" x14ac:dyDescent="0.3">
      <c r="H975"/>
      <c r="I975"/>
      <c r="J975"/>
    </row>
    <row r="976" spans="8:10" x14ac:dyDescent="0.3">
      <c r="H976"/>
      <c r="I976"/>
      <c r="J976"/>
    </row>
    <row r="977" spans="8:10" x14ac:dyDescent="0.3">
      <c r="H977"/>
      <c r="I977"/>
      <c r="J977"/>
    </row>
    <row r="978" spans="8:10" x14ac:dyDescent="0.3">
      <c r="H978"/>
      <c r="I978"/>
      <c r="J978"/>
    </row>
    <row r="979" spans="8:10" x14ac:dyDescent="0.3">
      <c r="H979"/>
      <c r="I979"/>
      <c r="J979"/>
    </row>
    <row r="980" spans="8:10" x14ac:dyDescent="0.3">
      <c r="H980"/>
      <c r="I980"/>
      <c r="J980"/>
    </row>
    <row r="981" spans="8:10" x14ac:dyDescent="0.3">
      <c r="H981"/>
      <c r="I981"/>
      <c r="J981"/>
    </row>
    <row r="982" spans="8:10" x14ac:dyDescent="0.3">
      <c r="H982"/>
      <c r="I982"/>
      <c r="J982"/>
    </row>
    <row r="983" spans="8:10" x14ac:dyDescent="0.3">
      <c r="H983"/>
      <c r="I983"/>
      <c r="J983"/>
    </row>
    <row r="984" spans="8:10" x14ac:dyDescent="0.3">
      <c r="H984"/>
      <c r="I984"/>
      <c r="J984"/>
    </row>
    <row r="985" spans="8:10" x14ac:dyDescent="0.3">
      <c r="H985"/>
      <c r="I985"/>
      <c r="J985"/>
    </row>
    <row r="986" spans="8:10" x14ac:dyDescent="0.3">
      <c r="H986"/>
      <c r="I986"/>
      <c r="J986"/>
    </row>
    <row r="987" spans="8:10" x14ac:dyDescent="0.3">
      <c r="H987"/>
      <c r="I987"/>
      <c r="J987"/>
    </row>
    <row r="988" spans="8:10" x14ac:dyDescent="0.3">
      <c r="H988"/>
      <c r="I988"/>
      <c r="J988"/>
    </row>
    <row r="989" spans="8:10" x14ac:dyDescent="0.3">
      <c r="H989"/>
      <c r="I989"/>
      <c r="J989"/>
    </row>
    <row r="990" spans="8:10" x14ac:dyDescent="0.3">
      <c r="H990"/>
      <c r="I990"/>
      <c r="J990"/>
    </row>
    <row r="991" spans="8:10" x14ac:dyDescent="0.3">
      <c r="H991"/>
      <c r="I991"/>
      <c r="J991"/>
    </row>
    <row r="992" spans="8:10" x14ac:dyDescent="0.3">
      <c r="H992"/>
      <c r="I992"/>
      <c r="J992"/>
    </row>
    <row r="993" spans="8:10" x14ac:dyDescent="0.3">
      <c r="H993"/>
      <c r="I993"/>
      <c r="J993"/>
    </row>
    <row r="994" spans="8:10" x14ac:dyDescent="0.3">
      <c r="H994"/>
      <c r="I994"/>
      <c r="J994"/>
    </row>
    <row r="995" spans="8:10" x14ac:dyDescent="0.3">
      <c r="H995"/>
      <c r="I995"/>
      <c r="J995"/>
    </row>
    <row r="996" spans="8:10" x14ac:dyDescent="0.3">
      <c r="H996"/>
      <c r="I996"/>
      <c r="J996"/>
    </row>
    <row r="997" spans="8:10" x14ac:dyDescent="0.3">
      <c r="H997"/>
      <c r="I997"/>
      <c r="J997"/>
    </row>
    <row r="998" spans="8:10" x14ac:dyDescent="0.3">
      <c r="H998"/>
      <c r="I998"/>
      <c r="J998"/>
    </row>
    <row r="999" spans="8:10" x14ac:dyDescent="0.3">
      <c r="H999"/>
      <c r="I999"/>
      <c r="J999"/>
    </row>
    <row r="1000" spans="8:10" x14ac:dyDescent="0.3">
      <c r="H1000"/>
      <c r="I1000"/>
      <c r="J1000"/>
    </row>
    <row r="1001" spans="8:10" x14ac:dyDescent="0.3">
      <c r="H1001"/>
      <c r="I1001"/>
      <c r="J1001"/>
    </row>
    <row r="1002" spans="8:10" x14ac:dyDescent="0.3">
      <c r="H1002"/>
      <c r="I1002"/>
      <c r="J1002"/>
    </row>
    <row r="1003" spans="8:10" x14ac:dyDescent="0.3">
      <c r="H1003"/>
      <c r="I1003"/>
      <c r="J1003"/>
    </row>
    <row r="1004" spans="8:10" x14ac:dyDescent="0.3">
      <c r="H1004"/>
      <c r="I1004"/>
      <c r="J1004"/>
    </row>
    <row r="1005" spans="8:10" x14ac:dyDescent="0.3">
      <c r="H1005"/>
      <c r="I1005"/>
      <c r="J1005"/>
    </row>
    <row r="1006" spans="8:10" x14ac:dyDescent="0.3">
      <c r="H1006"/>
      <c r="I1006"/>
      <c r="J1006"/>
    </row>
    <row r="1007" spans="8:10" x14ac:dyDescent="0.3">
      <c r="H1007"/>
      <c r="I1007"/>
      <c r="J1007"/>
    </row>
    <row r="1008" spans="8:10" x14ac:dyDescent="0.3">
      <c r="H1008"/>
      <c r="I1008"/>
      <c r="J1008"/>
    </row>
    <row r="1009" spans="8:10" x14ac:dyDescent="0.3">
      <c r="H1009"/>
      <c r="I1009"/>
      <c r="J1009"/>
    </row>
    <row r="1010" spans="8:10" x14ac:dyDescent="0.3">
      <c r="H1010"/>
      <c r="I1010"/>
      <c r="J1010"/>
    </row>
    <row r="1011" spans="8:10" x14ac:dyDescent="0.3">
      <c r="H1011"/>
      <c r="I1011"/>
      <c r="J1011"/>
    </row>
    <row r="1012" spans="8:10" x14ac:dyDescent="0.3">
      <c r="H1012"/>
      <c r="I1012"/>
      <c r="J1012"/>
    </row>
    <row r="1013" spans="8:10" x14ac:dyDescent="0.3">
      <c r="H1013"/>
      <c r="I1013"/>
      <c r="J1013"/>
    </row>
    <row r="1014" spans="8:10" x14ac:dyDescent="0.3">
      <c r="H1014"/>
      <c r="I1014"/>
      <c r="J1014"/>
    </row>
    <row r="1015" spans="8:10" x14ac:dyDescent="0.3">
      <c r="H1015"/>
      <c r="I1015"/>
      <c r="J1015"/>
    </row>
    <row r="1016" spans="8:10" x14ac:dyDescent="0.3">
      <c r="H1016"/>
      <c r="I1016"/>
      <c r="J1016"/>
    </row>
    <row r="1017" spans="8:10" x14ac:dyDescent="0.3">
      <c r="H1017"/>
      <c r="I1017"/>
      <c r="J1017"/>
    </row>
    <row r="1018" spans="8:10" x14ac:dyDescent="0.3">
      <c r="H1018"/>
      <c r="I1018"/>
      <c r="J1018"/>
    </row>
    <row r="1019" spans="8:10" x14ac:dyDescent="0.3">
      <c r="H1019"/>
      <c r="I1019"/>
      <c r="J1019"/>
    </row>
    <row r="1020" spans="8:10" x14ac:dyDescent="0.3">
      <c r="H1020"/>
      <c r="I1020"/>
      <c r="J1020"/>
    </row>
    <row r="1021" spans="8:10" x14ac:dyDescent="0.3">
      <c r="H1021"/>
      <c r="I1021"/>
      <c r="J1021"/>
    </row>
    <row r="1022" spans="8:10" x14ac:dyDescent="0.3">
      <c r="H1022"/>
      <c r="I1022"/>
      <c r="J1022"/>
    </row>
    <row r="1023" spans="8:10" x14ac:dyDescent="0.3">
      <c r="H1023"/>
      <c r="I1023"/>
      <c r="J1023"/>
    </row>
    <row r="1024" spans="8:10" x14ac:dyDescent="0.3">
      <c r="H1024"/>
      <c r="I1024"/>
      <c r="J1024"/>
    </row>
    <row r="1025" spans="8:10" x14ac:dyDescent="0.3">
      <c r="H1025"/>
      <c r="I1025"/>
      <c r="J1025"/>
    </row>
    <row r="1026" spans="8:10" x14ac:dyDescent="0.3">
      <c r="H1026"/>
      <c r="I1026"/>
      <c r="J1026"/>
    </row>
    <row r="1027" spans="8:10" x14ac:dyDescent="0.3">
      <c r="H1027"/>
      <c r="I1027"/>
      <c r="J1027"/>
    </row>
    <row r="1028" spans="8:10" x14ac:dyDescent="0.3">
      <c r="H1028"/>
      <c r="I1028"/>
      <c r="J1028"/>
    </row>
    <row r="1029" spans="8:10" x14ac:dyDescent="0.3">
      <c r="H1029"/>
      <c r="I1029"/>
      <c r="J1029"/>
    </row>
    <row r="1030" spans="8:10" x14ac:dyDescent="0.3">
      <c r="H1030"/>
      <c r="I1030"/>
      <c r="J1030"/>
    </row>
    <row r="1031" spans="8:10" x14ac:dyDescent="0.3">
      <c r="H1031"/>
      <c r="I1031"/>
      <c r="J1031"/>
    </row>
    <row r="1032" spans="8:10" x14ac:dyDescent="0.3">
      <c r="H1032"/>
      <c r="I1032"/>
      <c r="J1032"/>
    </row>
    <row r="1033" spans="8:10" x14ac:dyDescent="0.3">
      <c r="H1033"/>
      <c r="I1033"/>
      <c r="J1033"/>
    </row>
    <row r="1034" spans="8:10" x14ac:dyDescent="0.3">
      <c r="H1034"/>
      <c r="I1034"/>
      <c r="J1034"/>
    </row>
    <row r="1035" spans="8:10" x14ac:dyDescent="0.3">
      <c r="H1035"/>
      <c r="I1035"/>
      <c r="J1035"/>
    </row>
    <row r="1036" spans="8:10" x14ac:dyDescent="0.3">
      <c r="H1036"/>
      <c r="I1036"/>
      <c r="J1036"/>
    </row>
    <row r="1037" spans="8:10" x14ac:dyDescent="0.3">
      <c r="H1037"/>
      <c r="I1037"/>
      <c r="J1037"/>
    </row>
    <row r="1038" spans="8:10" x14ac:dyDescent="0.3">
      <c r="H1038"/>
      <c r="I1038"/>
      <c r="J1038"/>
    </row>
    <row r="1039" spans="8:10" x14ac:dyDescent="0.3">
      <c r="H1039"/>
      <c r="I1039"/>
      <c r="J1039"/>
    </row>
    <row r="1040" spans="8:10" x14ac:dyDescent="0.3">
      <c r="H1040"/>
      <c r="I1040"/>
      <c r="J1040"/>
    </row>
    <row r="1041" spans="8:10" x14ac:dyDescent="0.3">
      <c r="H1041"/>
      <c r="I1041"/>
      <c r="J1041"/>
    </row>
    <row r="1042" spans="8:10" x14ac:dyDescent="0.3">
      <c r="H1042"/>
      <c r="I1042"/>
      <c r="J1042"/>
    </row>
    <row r="1043" spans="8:10" x14ac:dyDescent="0.3">
      <c r="H1043"/>
      <c r="I1043"/>
      <c r="J1043"/>
    </row>
    <row r="1044" spans="8:10" x14ac:dyDescent="0.3">
      <c r="H1044"/>
      <c r="I1044"/>
      <c r="J1044"/>
    </row>
    <row r="1045" spans="8:10" x14ac:dyDescent="0.3">
      <c r="H1045"/>
      <c r="I1045"/>
      <c r="J1045"/>
    </row>
    <row r="1046" spans="8:10" x14ac:dyDescent="0.3">
      <c r="H1046"/>
      <c r="I1046"/>
      <c r="J1046"/>
    </row>
    <row r="1047" spans="8:10" x14ac:dyDescent="0.3">
      <c r="H1047"/>
      <c r="I1047"/>
      <c r="J1047"/>
    </row>
    <row r="1048" spans="8:10" x14ac:dyDescent="0.3">
      <c r="H1048"/>
      <c r="I1048"/>
      <c r="J1048"/>
    </row>
    <row r="1049" spans="8:10" x14ac:dyDescent="0.3">
      <c r="H1049"/>
      <c r="I1049"/>
      <c r="J1049"/>
    </row>
    <row r="1050" spans="8:10" x14ac:dyDescent="0.3">
      <c r="H1050"/>
      <c r="I1050"/>
      <c r="J1050"/>
    </row>
    <row r="1051" spans="8:10" x14ac:dyDescent="0.3">
      <c r="H1051"/>
      <c r="I1051"/>
      <c r="J1051"/>
    </row>
    <row r="1052" spans="8:10" x14ac:dyDescent="0.3">
      <c r="H1052"/>
      <c r="I1052"/>
      <c r="J1052"/>
    </row>
    <row r="1053" spans="8:10" x14ac:dyDescent="0.3">
      <c r="H1053"/>
      <c r="I1053"/>
      <c r="J1053"/>
    </row>
    <row r="1054" spans="8:10" x14ac:dyDescent="0.3">
      <c r="H1054"/>
      <c r="I1054"/>
      <c r="J1054"/>
    </row>
    <row r="1055" spans="8:10" x14ac:dyDescent="0.3">
      <c r="H1055"/>
      <c r="I1055"/>
      <c r="J1055"/>
    </row>
    <row r="1056" spans="8:10" x14ac:dyDescent="0.3">
      <c r="H1056"/>
      <c r="I1056"/>
      <c r="J1056"/>
    </row>
    <row r="1057" spans="8:10" x14ac:dyDescent="0.3">
      <c r="H1057"/>
      <c r="I1057"/>
      <c r="J1057"/>
    </row>
    <row r="1058" spans="8:10" x14ac:dyDescent="0.3">
      <c r="H1058"/>
      <c r="I1058"/>
      <c r="J1058"/>
    </row>
    <row r="1059" spans="8:10" x14ac:dyDescent="0.3">
      <c r="H1059"/>
      <c r="I1059"/>
      <c r="J1059"/>
    </row>
    <row r="1060" spans="8:10" x14ac:dyDescent="0.3">
      <c r="H1060"/>
      <c r="I1060"/>
      <c r="J1060"/>
    </row>
    <row r="1061" spans="8:10" x14ac:dyDescent="0.3">
      <c r="H1061"/>
      <c r="I1061"/>
      <c r="J1061"/>
    </row>
    <row r="1062" spans="8:10" x14ac:dyDescent="0.3">
      <c r="H1062"/>
      <c r="I1062"/>
      <c r="J1062"/>
    </row>
    <row r="1063" spans="8:10" x14ac:dyDescent="0.3">
      <c r="H1063"/>
      <c r="I1063"/>
      <c r="J1063"/>
    </row>
    <row r="1064" spans="8:10" x14ac:dyDescent="0.3">
      <c r="H1064"/>
      <c r="I1064"/>
      <c r="J1064"/>
    </row>
    <row r="1065" spans="8:10" x14ac:dyDescent="0.3">
      <c r="H1065"/>
      <c r="I1065"/>
      <c r="J1065"/>
    </row>
    <row r="1066" spans="8:10" x14ac:dyDescent="0.3">
      <c r="H1066"/>
      <c r="I1066"/>
      <c r="J1066"/>
    </row>
    <row r="1067" spans="8:10" x14ac:dyDescent="0.3">
      <c r="H1067"/>
      <c r="I1067"/>
      <c r="J1067"/>
    </row>
    <row r="1068" spans="8:10" x14ac:dyDescent="0.3">
      <c r="H1068"/>
      <c r="I1068"/>
      <c r="J1068"/>
    </row>
    <row r="1069" spans="8:10" x14ac:dyDescent="0.3">
      <c r="H1069"/>
      <c r="I1069"/>
      <c r="J1069"/>
    </row>
    <row r="1070" spans="8:10" x14ac:dyDescent="0.3">
      <c r="H1070"/>
      <c r="I1070"/>
      <c r="J1070"/>
    </row>
    <row r="1071" spans="8:10" x14ac:dyDescent="0.3">
      <c r="H1071"/>
      <c r="I1071"/>
      <c r="J1071"/>
    </row>
    <row r="1072" spans="8:10" x14ac:dyDescent="0.3">
      <c r="H1072"/>
      <c r="I1072"/>
      <c r="J1072"/>
    </row>
    <row r="1073" spans="8:10" x14ac:dyDescent="0.3">
      <c r="H1073"/>
      <c r="I1073"/>
      <c r="J1073"/>
    </row>
    <row r="1074" spans="8:10" x14ac:dyDescent="0.3">
      <c r="H1074"/>
      <c r="I1074"/>
      <c r="J1074"/>
    </row>
    <row r="1075" spans="8:10" x14ac:dyDescent="0.3">
      <c r="H1075"/>
      <c r="I1075"/>
      <c r="J1075"/>
    </row>
    <row r="1076" spans="8:10" x14ac:dyDescent="0.3">
      <c r="H1076"/>
      <c r="I1076"/>
      <c r="J1076"/>
    </row>
    <row r="1077" spans="8:10" x14ac:dyDescent="0.3">
      <c r="H1077"/>
      <c r="I1077"/>
      <c r="J1077"/>
    </row>
    <row r="1078" spans="8:10" x14ac:dyDescent="0.3">
      <c r="H1078"/>
      <c r="I1078"/>
      <c r="J1078"/>
    </row>
    <row r="1079" spans="8:10" x14ac:dyDescent="0.3">
      <c r="H1079"/>
      <c r="I1079"/>
      <c r="J1079"/>
    </row>
    <row r="1080" spans="8:10" x14ac:dyDescent="0.3">
      <c r="H1080"/>
      <c r="I1080"/>
      <c r="J1080"/>
    </row>
    <row r="1081" spans="8:10" x14ac:dyDescent="0.3">
      <c r="H1081"/>
      <c r="I1081"/>
      <c r="J1081"/>
    </row>
    <row r="1082" spans="8:10" x14ac:dyDescent="0.3">
      <c r="H1082"/>
      <c r="I1082"/>
      <c r="J1082"/>
    </row>
    <row r="1083" spans="8:10" x14ac:dyDescent="0.3">
      <c r="H1083"/>
      <c r="I1083"/>
      <c r="J1083"/>
    </row>
    <row r="1084" spans="8:10" x14ac:dyDescent="0.3">
      <c r="H1084"/>
      <c r="I1084"/>
      <c r="J1084"/>
    </row>
    <row r="1085" spans="8:10" x14ac:dyDescent="0.3">
      <c r="H1085"/>
      <c r="I1085"/>
      <c r="J1085"/>
    </row>
    <row r="1086" spans="8:10" x14ac:dyDescent="0.3">
      <c r="H1086"/>
      <c r="I1086"/>
      <c r="J1086"/>
    </row>
    <row r="1087" spans="8:10" x14ac:dyDescent="0.3">
      <c r="H1087"/>
      <c r="I1087"/>
      <c r="J1087"/>
    </row>
    <row r="1088" spans="8:10" x14ac:dyDescent="0.3">
      <c r="H1088"/>
      <c r="I1088"/>
      <c r="J1088"/>
    </row>
    <row r="1089" spans="8:10" x14ac:dyDescent="0.3">
      <c r="H1089"/>
      <c r="I1089"/>
      <c r="J1089"/>
    </row>
    <row r="1090" spans="8:10" x14ac:dyDescent="0.3">
      <c r="H1090"/>
      <c r="I1090"/>
      <c r="J1090"/>
    </row>
    <row r="1091" spans="8:10" x14ac:dyDescent="0.3">
      <c r="H1091"/>
      <c r="I1091"/>
      <c r="J1091"/>
    </row>
    <row r="1092" spans="8:10" x14ac:dyDescent="0.3">
      <c r="H1092"/>
      <c r="I1092"/>
      <c r="J1092"/>
    </row>
    <row r="1093" spans="8:10" x14ac:dyDescent="0.3">
      <c r="H1093"/>
      <c r="I1093"/>
      <c r="J1093"/>
    </row>
    <row r="1094" spans="8:10" x14ac:dyDescent="0.3">
      <c r="H1094"/>
      <c r="I1094"/>
      <c r="J1094"/>
    </row>
    <row r="1095" spans="8:10" x14ac:dyDescent="0.3">
      <c r="H1095"/>
      <c r="I1095"/>
      <c r="J1095"/>
    </row>
    <row r="1096" spans="8:10" x14ac:dyDescent="0.3">
      <c r="H1096"/>
      <c r="I1096"/>
      <c r="J1096"/>
    </row>
    <row r="1097" spans="8:10" x14ac:dyDescent="0.3">
      <c r="H1097"/>
      <c r="I1097"/>
      <c r="J1097"/>
    </row>
    <row r="1098" spans="8:10" x14ac:dyDescent="0.3">
      <c r="H1098"/>
      <c r="I1098"/>
      <c r="J1098"/>
    </row>
    <row r="1099" spans="8:10" x14ac:dyDescent="0.3">
      <c r="H1099"/>
      <c r="I1099"/>
      <c r="J1099"/>
    </row>
    <row r="1100" spans="8:10" x14ac:dyDescent="0.3">
      <c r="H1100"/>
      <c r="I1100"/>
      <c r="J1100"/>
    </row>
    <row r="1101" spans="8:10" x14ac:dyDescent="0.3">
      <c r="H1101"/>
      <c r="I1101"/>
      <c r="J1101"/>
    </row>
    <row r="1102" spans="8:10" x14ac:dyDescent="0.3">
      <c r="H1102"/>
      <c r="I1102"/>
      <c r="J1102"/>
    </row>
    <row r="1103" spans="8:10" x14ac:dyDescent="0.3">
      <c r="H1103"/>
      <c r="I1103"/>
      <c r="J1103"/>
    </row>
    <row r="1104" spans="8:10" x14ac:dyDescent="0.3">
      <c r="H1104"/>
      <c r="I1104"/>
      <c r="J1104"/>
    </row>
    <row r="1105" spans="8:10" x14ac:dyDescent="0.3">
      <c r="H1105"/>
      <c r="I1105"/>
      <c r="J1105"/>
    </row>
    <row r="1106" spans="8:10" x14ac:dyDescent="0.3">
      <c r="H1106"/>
      <c r="I1106"/>
      <c r="J1106"/>
    </row>
    <row r="1107" spans="8:10" x14ac:dyDescent="0.3">
      <c r="H1107"/>
      <c r="I1107"/>
      <c r="J1107"/>
    </row>
    <row r="1108" spans="8:10" x14ac:dyDescent="0.3">
      <c r="H1108"/>
      <c r="I1108"/>
      <c r="J1108"/>
    </row>
    <row r="1109" spans="8:10" x14ac:dyDescent="0.3">
      <c r="H1109"/>
      <c r="I1109"/>
      <c r="J1109"/>
    </row>
    <row r="1110" spans="8:10" x14ac:dyDescent="0.3">
      <c r="H1110"/>
      <c r="I1110"/>
      <c r="J1110"/>
    </row>
    <row r="1111" spans="8:10" x14ac:dyDescent="0.3">
      <c r="H1111"/>
      <c r="I1111"/>
      <c r="J1111"/>
    </row>
    <row r="1112" spans="8:10" x14ac:dyDescent="0.3">
      <c r="H1112"/>
      <c r="I1112"/>
      <c r="J1112"/>
    </row>
    <row r="1113" spans="8:10" x14ac:dyDescent="0.3">
      <c r="H1113"/>
      <c r="I1113"/>
      <c r="J1113"/>
    </row>
    <row r="1114" spans="8:10" x14ac:dyDescent="0.3">
      <c r="H1114"/>
      <c r="I1114"/>
      <c r="J1114"/>
    </row>
    <row r="1115" spans="8:10" x14ac:dyDescent="0.3">
      <c r="H1115"/>
      <c r="I1115"/>
      <c r="J1115"/>
    </row>
    <row r="1116" spans="8:10" x14ac:dyDescent="0.3">
      <c r="H1116"/>
      <c r="I1116"/>
      <c r="J1116"/>
    </row>
    <row r="1117" spans="8:10" x14ac:dyDescent="0.3">
      <c r="H1117"/>
      <c r="I1117"/>
      <c r="J1117"/>
    </row>
    <row r="1118" spans="8:10" x14ac:dyDescent="0.3">
      <c r="H1118"/>
      <c r="I1118"/>
      <c r="J1118"/>
    </row>
    <row r="1119" spans="8:10" x14ac:dyDescent="0.3">
      <c r="H1119"/>
      <c r="I1119"/>
      <c r="J1119"/>
    </row>
    <row r="1120" spans="8:10" x14ac:dyDescent="0.3">
      <c r="H1120"/>
      <c r="I1120"/>
      <c r="J1120"/>
    </row>
    <row r="1121" spans="8:10" x14ac:dyDescent="0.3">
      <c r="H1121"/>
      <c r="I1121"/>
      <c r="J1121"/>
    </row>
    <row r="1122" spans="8:10" x14ac:dyDescent="0.3">
      <c r="H1122"/>
      <c r="I1122"/>
      <c r="J1122"/>
    </row>
    <row r="1123" spans="8:10" x14ac:dyDescent="0.3">
      <c r="H1123"/>
      <c r="I1123"/>
      <c r="J1123"/>
    </row>
    <row r="1124" spans="8:10" x14ac:dyDescent="0.3">
      <c r="H1124"/>
      <c r="I1124"/>
      <c r="J1124"/>
    </row>
    <row r="1125" spans="8:10" x14ac:dyDescent="0.3">
      <c r="H1125"/>
      <c r="I1125"/>
      <c r="J1125"/>
    </row>
    <row r="1126" spans="8:10" x14ac:dyDescent="0.3">
      <c r="H1126"/>
      <c r="I1126"/>
      <c r="J1126"/>
    </row>
    <row r="1127" spans="8:10" x14ac:dyDescent="0.3">
      <c r="H1127"/>
      <c r="I1127"/>
      <c r="J1127"/>
    </row>
    <row r="1128" spans="8:10" x14ac:dyDescent="0.3">
      <c r="H1128"/>
      <c r="I1128"/>
      <c r="J1128"/>
    </row>
    <row r="1129" spans="8:10" x14ac:dyDescent="0.3">
      <c r="H1129"/>
      <c r="I1129"/>
      <c r="J1129"/>
    </row>
    <row r="1130" spans="8:10" x14ac:dyDescent="0.3">
      <c r="H1130"/>
      <c r="I1130"/>
      <c r="J1130"/>
    </row>
    <row r="1131" spans="8:10" x14ac:dyDescent="0.3">
      <c r="H1131"/>
      <c r="I1131"/>
      <c r="J1131"/>
    </row>
    <row r="1132" spans="8:10" x14ac:dyDescent="0.3">
      <c r="H1132"/>
      <c r="I1132"/>
      <c r="J1132"/>
    </row>
    <row r="1133" spans="8:10" x14ac:dyDescent="0.3">
      <c r="H1133"/>
      <c r="I1133"/>
      <c r="J1133"/>
    </row>
    <row r="1134" spans="8:10" x14ac:dyDescent="0.3">
      <c r="H1134"/>
      <c r="I1134"/>
      <c r="J1134"/>
    </row>
    <row r="1135" spans="8:10" x14ac:dyDescent="0.3">
      <c r="H1135"/>
      <c r="I1135"/>
      <c r="J1135"/>
    </row>
    <row r="1136" spans="8:10" x14ac:dyDescent="0.3">
      <c r="H1136"/>
      <c r="I1136"/>
      <c r="J1136"/>
    </row>
    <row r="1137" spans="8:10" x14ac:dyDescent="0.3">
      <c r="H1137"/>
      <c r="I1137"/>
      <c r="J1137"/>
    </row>
    <row r="1138" spans="8:10" x14ac:dyDescent="0.3">
      <c r="H1138"/>
      <c r="I1138"/>
      <c r="J1138"/>
    </row>
    <row r="1139" spans="8:10" x14ac:dyDescent="0.3">
      <c r="H1139"/>
      <c r="I1139"/>
      <c r="J1139"/>
    </row>
    <row r="1140" spans="8:10" x14ac:dyDescent="0.3">
      <c r="H1140"/>
      <c r="I1140"/>
      <c r="J1140"/>
    </row>
    <row r="1141" spans="8:10" x14ac:dyDescent="0.3">
      <c r="H1141"/>
      <c r="I1141"/>
      <c r="J1141"/>
    </row>
    <row r="1142" spans="8:10" x14ac:dyDescent="0.3">
      <c r="H1142"/>
      <c r="I1142"/>
      <c r="J1142"/>
    </row>
    <row r="1143" spans="8:10" x14ac:dyDescent="0.3">
      <c r="H1143"/>
      <c r="I1143"/>
      <c r="J1143"/>
    </row>
    <row r="1144" spans="8:10" x14ac:dyDescent="0.3">
      <c r="H1144"/>
      <c r="I1144"/>
      <c r="J1144"/>
    </row>
    <row r="1145" spans="8:10" x14ac:dyDescent="0.3">
      <c r="H1145"/>
      <c r="I1145"/>
      <c r="J1145"/>
    </row>
    <row r="1146" spans="8:10" x14ac:dyDescent="0.3">
      <c r="H1146"/>
      <c r="I1146"/>
      <c r="J1146"/>
    </row>
    <row r="1147" spans="8:10" x14ac:dyDescent="0.3">
      <c r="H1147"/>
      <c r="I1147"/>
      <c r="J1147"/>
    </row>
    <row r="1148" spans="8:10" x14ac:dyDescent="0.3">
      <c r="H1148"/>
      <c r="I1148"/>
      <c r="J1148"/>
    </row>
    <row r="1149" spans="8:10" x14ac:dyDescent="0.3">
      <c r="H1149"/>
      <c r="I1149"/>
      <c r="J1149"/>
    </row>
    <row r="1150" spans="8:10" x14ac:dyDescent="0.3">
      <c r="H1150"/>
      <c r="I1150"/>
      <c r="J1150"/>
    </row>
    <row r="1151" spans="8:10" x14ac:dyDescent="0.3">
      <c r="H1151"/>
      <c r="I1151"/>
      <c r="J1151"/>
    </row>
    <row r="1152" spans="8:10" x14ac:dyDescent="0.3">
      <c r="H1152"/>
      <c r="I1152"/>
      <c r="J1152"/>
    </row>
    <row r="1153" spans="8:10" x14ac:dyDescent="0.3">
      <c r="H1153"/>
      <c r="I1153"/>
      <c r="J1153"/>
    </row>
    <row r="1154" spans="8:10" x14ac:dyDescent="0.3">
      <c r="H1154"/>
      <c r="I1154"/>
      <c r="J1154"/>
    </row>
    <row r="1155" spans="8:10" x14ac:dyDescent="0.3">
      <c r="H1155"/>
      <c r="I1155"/>
      <c r="J1155"/>
    </row>
    <row r="1156" spans="8:10" x14ac:dyDescent="0.3">
      <c r="H1156"/>
      <c r="I1156"/>
      <c r="J1156"/>
    </row>
    <row r="1157" spans="8:10" x14ac:dyDescent="0.3">
      <c r="H1157"/>
      <c r="I1157"/>
      <c r="J1157"/>
    </row>
    <row r="1158" spans="8:10" x14ac:dyDescent="0.3">
      <c r="H1158"/>
      <c r="I1158"/>
      <c r="J1158"/>
    </row>
    <row r="1159" spans="8:10" x14ac:dyDescent="0.3">
      <c r="H1159"/>
      <c r="I1159"/>
      <c r="J1159"/>
    </row>
    <row r="1160" spans="8:10" x14ac:dyDescent="0.3">
      <c r="H1160"/>
      <c r="I1160"/>
      <c r="J1160"/>
    </row>
    <row r="1161" spans="8:10" x14ac:dyDescent="0.3">
      <c r="H1161"/>
      <c r="I1161"/>
      <c r="J1161"/>
    </row>
    <row r="1162" spans="8:10" x14ac:dyDescent="0.3">
      <c r="H1162"/>
      <c r="I1162"/>
      <c r="J1162"/>
    </row>
    <row r="1163" spans="8:10" x14ac:dyDescent="0.3">
      <c r="H1163"/>
      <c r="I1163"/>
      <c r="J1163"/>
    </row>
    <row r="1164" spans="8:10" x14ac:dyDescent="0.3">
      <c r="H1164"/>
      <c r="I1164"/>
      <c r="J1164"/>
    </row>
    <row r="1165" spans="8:10" x14ac:dyDescent="0.3">
      <c r="H1165"/>
      <c r="I1165"/>
      <c r="J1165"/>
    </row>
    <row r="1166" spans="8:10" x14ac:dyDescent="0.3">
      <c r="H1166"/>
      <c r="I1166"/>
      <c r="J1166"/>
    </row>
    <row r="1167" spans="8:10" x14ac:dyDescent="0.3">
      <c r="H1167"/>
      <c r="I1167"/>
      <c r="J1167"/>
    </row>
    <row r="1168" spans="8:10" x14ac:dyDescent="0.3">
      <c r="H1168"/>
      <c r="I1168"/>
      <c r="J1168"/>
    </row>
    <row r="1169" spans="8:10" x14ac:dyDescent="0.3">
      <c r="H1169"/>
      <c r="I1169"/>
      <c r="J1169"/>
    </row>
    <row r="1170" spans="8:10" x14ac:dyDescent="0.3">
      <c r="H1170"/>
      <c r="I1170"/>
      <c r="J1170"/>
    </row>
    <row r="1171" spans="8:10" x14ac:dyDescent="0.3">
      <c r="H1171"/>
      <c r="I1171"/>
      <c r="J1171"/>
    </row>
    <row r="1172" spans="8:10" x14ac:dyDescent="0.3">
      <c r="H1172"/>
      <c r="I1172"/>
      <c r="J1172"/>
    </row>
    <row r="1173" spans="8:10" x14ac:dyDescent="0.3">
      <c r="H1173"/>
      <c r="I1173"/>
      <c r="J1173"/>
    </row>
    <row r="1174" spans="8:10" x14ac:dyDescent="0.3">
      <c r="H1174"/>
      <c r="I1174"/>
      <c r="J1174"/>
    </row>
    <row r="1175" spans="8:10" x14ac:dyDescent="0.3">
      <c r="H1175"/>
      <c r="I1175"/>
      <c r="J1175"/>
    </row>
    <row r="1176" spans="8:10" x14ac:dyDescent="0.3">
      <c r="H1176"/>
      <c r="I1176"/>
      <c r="J1176"/>
    </row>
    <row r="1177" spans="8:10" x14ac:dyDescent="0.3">
      <c r="H1177"/>
      <c r="I1177"/>
      <c r="J1177"/>
    </row>
    <row r="1178" spans="8:10" x14ac:dyDescent="0.3">
      <c r="H1178"/>
      <c r="I1178"/>
      <c r="J1178"/>
    </row>
    <row r="1179" spans="8:10" x14ac:dyDescent="0.3">
      <c r="H1179"/>
      <c r="I1179"/>
      <c r="J1179"/>
    </row>
    <row r="1180" spans="8:10" x14ac:dyDescent="0.3">
      <c r="H1180"/>
      <c r="I1180"/>
      <c r="J1180"/>
    </row>
    <row r="1181" spans="8:10" x14ac:dyDescent="0.3">
      <c r="H1181"/>
      <c r="I1181"/>
      <c r="J1181"/>
    </row>
    <row r="1182" spans="8:10" x14ac:dyDescent="0.3">
      <c r="H1182"/>
      <c r="I1182"/>
      <c r="J1182"/>
    </row>
    <row r="1183" spans="8:10" x14ac:dyDescent="0.3">
      <c r="H1183"/>
      <c r="I1183"/>
      <c r="J1183"/>
    </row>
    <row r="1184" spans="8:10" x14ac:dyDescent="0.3">
      <c r="H1184"/>
      <c r="I1184"/>
      <c r="J1184"/>
    </row>
    <row r="1185" spans="8:10" x14ac:dyDescent="0.3">
      <c r="H1185"/>
      <c r="I1185"/>
      <c r="J1185"/>
    </row>
    <row r="1186" spans="8:10" x14ac:dyDescent="0.3">
      <c r="H1186"/>
      <c r="I1186"/>
      <c r="J1186"/>
    </row>
    <row r="1187" spans="8:10" x14ac:dyDescent="0.3">
      <c r="H1187"/>
      <c r="I1187"/>
      <c r="J1187"/>
    </row>
    <row r="1188" spans="8:10" x14ac:dyDescent="0.3">
      <c r="H1188"/>
      <c r="I1188"/>
      <c r="J1188"/>
    </row>
    <row r="1189" spans="8:10" x14ac:dyDescent="0.3">
      <c r="H1189"/>
      <c r="I1189"/>
      <c r="J1189"/>
    </row>
    <row r="1190" spans="8:10" x14ac:dyDescent="0.3">
      <c r="H1190"/>
      <c r="I1190"/>
      <c r="J1190"/>
    </row>
    <row r="1191" spans="8:10" x14ac:dyDescent="0.3">
      <c r="H1191"/>
      <c r="I1191"/>
      <c r="J1191"/>
    </row>
    <row r="1192" spans="8:10" x14ac:dyDescent="0.3">
      <c r="H1192"/>
      <c r="I1192"/>
      <c r="J1192"/>
    </row>
    <row r="1193" spans="8:10" x14ac:dyDescent="0.3">
      <c r="H1193"/>
      <c r="I1193"/>
      <c r="J1193"/>
    </row>
    <row r="1194" spans="8:10" x14ac:dyDescent="0.3">
      <c r="H1194"/>
      <c r="I1194"/>
      <c r="J1194"/>
    </row>
    <row r="1195" spans="8:10" x14ac:dyDescent="0.3">
      <c r="H1195"/>
      <c r="I1195"/>
      <c r="J1195"/>
    </row>
    <row r="1196" spans="8:10" x14ac:dyDescent="0.3">
      <c r="H1196"/>
      <c r="I1196"/>
      <c r="J1196"/>
    </row>
    <row r="1197" spans="8:10" x14ac:dyDescent="0.3">
      <c r="H1197"/>
      <c r="I1197"/>
      <c r="J1197"/>
    </row>
    <row r="1198" spans="8:10" x14ac:dyDescent="0.3">
      <c r="H1198"/>
      <c r="I1198"/>
      <c r="J1198"/>
    </row>
    <row r="1199" spans="8:10" x14ac:dyDescent="0.3">
      <c r="H1199"/>
      <c r="I1199"/>
      <c r="J1199"/>
    </row>
    <row r="1200" spans="8:10" x14ac:dyDescent="0.3">
      <c r="H1200"/>
      <c r="I1200"/>
      <c r="J1200"/>
    </row>
    <row r="1201" spans="8:10" x14ac:dyDescent="0.3">
      <c r="H1201"/>
      <c r="I1201"/>
      <c r="J1201"/>
    </row>
    <row r="1202" spans="8:10" x14ac:dyDescent="0.3">
      <c r="H1202"/>
      <c r="I1202"/>
      <c r="J1202"/>
    </row>
    <row r="1203" spans="8:10" x14ac:dyDescent="0.3">
      <c r="H1203"/>
      <c r="I1203"/>
      <c r="J1203"/>
    </row>
    <row r="1204" spans="8:10" x14ac:dyDescent="0.3">
      <c r="H1204"/>
      <c r="I1204"/>
      <c r="J1204"/>
    </row>
    <row r="1205" spans="8:10" x14ac:dyDescent="0.3">
      <c r="H1205"/>
      <c r="I1205"/>
      <c r="J1205"/>
    </row>
    <row r="1206" spans="8:10" x14ac:dyDescent="0.3">
      <c r="H1206"/>
      <c r="I1206"/>
      <c r="J1206"/>
    </row>
    <row r="1207" spans="8:10" x14ac:dyDescent="0.3">
      <c r="H1207"/>
      <c r="I1207"/>
      <c r="J1207"/>
    </row>
    <row r="1208" spans="8:10" x14ac:dyDescent="0.3">
      <c r="H1208"/>
      <c r="I1208"/>
      <c r="J1208"/>
    </row>
    <row r="1209" spans="8:10" x14ac:dyDescent="0.3">
      <c r="H1209"/>
      <c r="I1209"/>
      <c r="J1209"/>
    </row>
    <row r="1210" spans="8:10" x14ac:dyDescent="0.3">
      <c r="H1210"/>
      <c r="I1210"/>
      <c r="J1210"/>
    </row>
    <row r="1211" spans="8:10" x14ac:dyDescent="0.3">
      <c r="H1211"/>
      <c r="I1211"/>
      <c r="J1211"/>
    </row>
    <row r="1212" spans="8:10" x14ac:dyDescent="0.3">
      <c r="H1212"/>
      <c r="I1212"/>
      <c r="J1212"/>
    </row>
    <row r="1213" spans="8:10" x14ac:dyDescent="0.3">
      <c r="H1213"/>
      <c r="I1213"/>
      <c r="J1213"/>
    </row>
    <row r="1214" spans="8:10" x14ac:dyDescent="0.3">
      <c r="H1214"/>
      <c r="I1214"/>
      <c r="J1214"/>
    </row>
    <row r="1215" spans="8:10" x14ac:dyDescent="0.3">
      <c r="H1215"/>
      <c r="I1215"/>
      <c r="J1215"/>
    </row>
    <row r="1216" spans="8:10" x14ac:dyDescent="0.3">
      <c r="H1216"/>
      <c r="I1216"/>
      <c r="J1216"/>
    </row>
    <row r="1217" spans="8:10" x14ac:dyDescent="0.3">
      <c r="H1217"/>
      <c r="I1217"/>
      <c r="J1217"/>
    </row>
    <row r="1218" spans="8:10" x14ac:dyDescent="0.3">
      <c r="H1218"/>
      <c r="I1218"/>
      <c r="J1218"/>
    </row>
    <row r="1219" spans="8:10" x14ac:dyDescent="0.3">
      <c r="H1219"/>
      <c r="I1219"/>
      <c r="J1219"/>
    </row>
    <row r="1220" spans="8:10" x14ac:dyDescent="0.3">
      <c r="H1220"/>
      <c r="I1220"/>
      <c r="J1220"/>
    </row>
    <row r="1221" spans="8:10" x14ac:dyDescent="0.3">
      <c r="H1221"/>
      <c r="I1221"/>
      <c r="J1221"/>
    </row>
    <row r="1222" spans="8:10" x14ac:dyDescent="0.3">
      <c r="H1222"/>
      <c r="I1222"/>
      <c r="J1222"/>
    </row>
    <row r="1223" spans="8:10" x14ac:dyDescent="0.3">
      <c r="H1223"/>
      <c r="I1223"/>
      <c r="J1223"/>
    </row>
    <row r="1224" spans="8:10" x14ac:dyDescent="0.3">
      <c r="H1224"/>
      <c r="I1224"/>
      <c r="J1224"/>
    </row>
    <row r="1225" spans="8:10" x14ac:dyDescent="0.3">
      <c r="H1225"/>
      <c r="I1225"/>
      <c r="J1225"/>
    </row>
    <row r="1226" spans="8:10" x14ac:dyDescent="0.3">
      <c r="H1226"/>
      <c r="I1226"/>
      <c r="J1226"/>
    </row>
    <row r="1227" spans="8:10" x14ac:dyDescent="0.3">
      <c r="H1227"/>
      <c r="I1227"/>
      <c r="J1227"/>
    </row>
    <row r="1228" spans="8:10" x14ac:dyDescent="0.3">
      <c r="H1228"/>
      <c r="I1228"/>
      <c r="J1228"/>
    </row>
    <row r="1229" spans="8:10" x14ac:dyDescent="0.3">
      <c r="H1229"/>
      <c r="I1229"/>
      <c r="J1229"/>
    </row>
    <row r="1230" spans="8:10" x14ac:dyDescent="0.3">
      <c r="H1230"/>
      <c r="I1230"/>
      <c r="J1230"/>
    </row>
    <row r="1231" spans="8:10" x14ac:dyDescent="0.3">
      <c r="H1231"/>
      <c r="I1231"/>
      <c r="J1231"/>
    </row>
    <row r="1232" spans="8:10" x14ac:dyDescent="0.3">
      <c r="H1232"/>
      <c r="I1232"/>
      <c r="J1232"/>
    </row>
    <row r="1233" spans="8:10" x14ac:dyDescent="0.3">
      <c r="H1233"/>
      <c r="I1233"/>
      <c r="J1233"/>
    </row>
    <row r="1234" spans="8:10" x14ac:dyDescent="0.3">
      <c r="H1234"/>
      <c r="I1234"/>
      <c r="J1234"/>
    </row>
    <row r="1235" spans="8:10" x14ac:dyDescent="0.3">
      <c r="H1235"/>
      <c r="I1235"/>
      <c r="J1235"/>
    </row>
    <row r="1236" spans="8:10" x14ac:dyDescent="0.3">
      <c r="H1236"/>
      <c r="I1236"/>
      <c r="J1236"/>
    </row>
    <row r="1237" spans="8:10" x14ac:dyDescent="0.3">
      <c r="H1237"/>
      <c r="I1237"/>
      <c r="J1237"/>
    </row>
    <row r="1238" spans="8:10" x14ac:dyDescent="0.3">
      <c r="H1238"/>
      <c r="I1238"/>
      <c r="J1238"/>
    </row>
    <row r="1239" spans="8:10" x14ac:dyDescent="0.3">
      <c r="H1239"/>
      <c r="I1239"/>
      <c r="J1239"/>
    </row>
    <row r="1240" spans="8:10" x14ac:dyDescent="0.3">
      <c r="H1240"/>
      <c r="I1240"/>
      <c r="J1240"/>
    </row>
    <row r="1241" spans="8:10" x14ac:dyDescent="0.3">
      <c r="H1241"/>
      <c r="I1241"/>
      <c r="J1241"/>
    </row>
    <row r="1242" spans="8:10" x14ac:dyDescent="0.3">
      <c r="H1242"/>
      <c r="I1242"/>
      <c r="J1242"/>
    </row>
    <row r="1243" spans="8:10" x14ac:dyDescent="0.3">
      <c r="H1243"/>
      <c r="I1243"/>
      <c r="J1243"/>
    </row>
    <row r="1244" spans="8:10" x14ac:dyDescent="0.3">
      <c r="H1244"/>
      <c r="I1244"/>
      <c r="J1244"/>
    </row>
    <row r="1245" spans="8:10" x14ac:dyDescent="0.3">
      <c r="H1245"/>
      <c r="I1245"/>
      <c r="J1245"/>
    </row>
    <row r="1246" spans="8:10" x14ac:dyDescent="0.3">
      <c r="H1246"/>
      <c r="I1246"/>
      <c r="J1246"/>
    </row>
    <row r="1247" spans="8:10" x14ac:dyDescent="0.3">
      <c r="H1247"/>
      <c r="I1247"/>
      <c r="J1247"/>
    </row>
    <row r="1248" spans="8:10" x14ac:dyDescent="0.3">
      <c r="H1248"/>
      <c r="I1248"/>
      <c r="J1248"/>
    </row>
    <row r="1249" spans="8:10" x14ac:dyDescent="0.3">
      <c r="H1249"/>
      <c r="I1249"/>
      <c r="J1249"/>
    </row>
    <row r="1250" spans="8:10" x14ac:dyDescent="0.3">
      <c r="H1250"/>
      <c r="I1250"/>
      <c r="J1250"/>
    </row>
    <row r="1251" spans="8:10" x14ac:dyDescent="0.3">
      <c r="H1251"/>
      <c r="I1251"/>
      <c r="J1251"/>
    </row>
    <row r="1252" spans="8:10" x14ac:dyDescent="0.3">
      <c r="H1252"/>
      <c r="I1252"/>
      <c r="J1252"/>
    </row>
    <row r="1253" spans="8:10" x14ac:dyDescent="0.3">
      <c r="H1253"/>
      <c r="I1253"/>
      <c r="J1253"/>
    </row>
    <row r="1254" spans="8:10" x14ac:dyDescent="0.3">
      <c r="H1254"/>
      <c r="I1254"/>
      <c r="J1254"/>
    </row>
    <row r="1255" spans="8:10" x14ac:dyDescent="0.3">
      <c r="H1255"/>
      <c r="I1255"/>
      <c r="J1255"/>
    </row>
    <row r="1256" spans="8:10" x14ac:dyDescent="0.3">
      <c r="H1256"/>
      <c r="I1256"/>
      <c r="J1256"/>
    </row>
    <row r="1257" spans="8:10" x14ac:dyDescent="0.3">
      <c r="H1257"/>
      <c r="I1257"/>
      <c r="J1257"/>
    </row>
    <row r="1258" spans="8:10" x14ac:dyDescent="0.3">
      <c r="H1258"/>
      <c r="I1258"/>
      <c r="J1258"/>
    </row>
    <row r="1259" spans="8:10" x14ac:dyDescent="0.3">
      <c r="H1259"/>
      <c r="I1259"/>
      <c r="J1259"/>
    </row>
    <row r="1260" spans="8:10" x14ac:dyDescent="0.3">
      <c r="H1260"/>
      <c r="I1260"/>
      <c r="J1260"/>
    </row>
    <row r="1261" spans="8:10" x14ac:dyDescent="0.3">
      <c r="H1261"/>
      <c r="I1261"/>
      <c r="J1261"/>
    </row>
    <row r="1262" spans="8:10" x14ac:dyDescent="0.3">
      <c r="H1262"/>
      <c r="I1262"/>
      <c r="J1262"/>
    </row>
    <row r="1263" spans="8:10" x14ac:dyDescent="0.3">
      <c r="H1263"/>
      <c r="I1263"/>
      <c r="J1263"/>
    </row>
    <row r="1264" spans="8:10" x14ac:dyDescent="0.3">
      <c r="H1264"/>
      <c r="I1264"/>
      <c r="J1264"/>
    </row>
    <row r="1265" spans="8:10" x14ac:dyDescent="0.3">
      <c r="H1265"/>
      <c r="I1265"/>
      <c r="J1265"/>
    </row>
    <row r="1266" spans="8:10" x14ac:dyDescent="0.3">
      <c r="H1266"/>
      <c r="I1266"/>
      <c r="J1266"/>
    </row>
    <row r="1267" spans="8:10" x14ac:dyDescent="0.3">
      <c r="H1267"/>
      <c r="I1267"/>
      <c r="J1267"/>
    </row>
    <row r="1268" spans="8:10" x14ac:dyDescent="0.3">
      <c r="H1268"/>
      <c r="I1268"/>
      <c r="J1268"/>
    </row>
    <row r="1269" spans="8:10" x14ac:dyDescent="0.3">
      <c r="H1269"/>
      <c r="I1269"/>
      <c r="J1269"/>
    </row>
    <row r="1270" spans="8:10" x14ac:dyDescent="0.3">
      <c r="H1270"/>
      <c r="I1270"/>
      <c r="J1270"/>
    </row>
    <row r="1271" spans="8:10" x14ac:dyDescent="0.3">
      <c r="H1271"/>
      <c r="I1271"/>
      <c r="J1271"/>
    </row>
    <row r="1272" spans="8:10" x14ac:dyDescent="0.3">
      <c r="H1272"/>
      <c r="I1272"/>
      <c r="J1272"/>
    </row>
    <row r="1273" spans="8:10" x14ac:dyDescent="0.3">
      <c r="H1273"/>
      <c r="I1273"/>
      <c r="J1273"/>
    </row>
    <row r="1274" spans="8:10" x14ac:dyDescent="0.3">
      <c r="H1274"/>
      <c r="I1274"/>
      <c r="J1274"/>
    </row>
    <row r="1275" spans="8:10" x14ac:dyDescent="0.3">
      <c r="H1275"/>
      <c r="I1275"/>
      <c r="J1275"/>
    </row>
    <row r="1276" spans="8:10" x14ac:dyDescent="0.3">
      <c r="H1276"/>
      <c r="I1276"/>
      <c r="J1276"/>
    </row>
    <row r="1277" spans="8:10" x14ac:dyDescent="0.3">
      <c r="H1277"/>
      <c r="I1277"/>
      <c r="J1277"/>
    </row>
    <row r="1278" spans="8:10" x14ac:dyDescent="0.3">
      <c r="H1278"/>
      <c r="I1278"/>
      <c r="J1278"/>
    </row>
    <row r="1279" spans="8:10" x14ac:dyDescent="0.3">
      <c r="H1279"/>
      <c r="I1279"/>
      <c r="J1279"/>
    </row>
    <row r="1280" spans="8:10" x14ac:dyDescent="0.3">
      <c r="H1280"/>
      <c r="I1280"/>
      <c r="J1280"/>
    </row>
    <row r="1281" spans="8:10" x14ac:dyDescent="0.3">
      <c r="H1281"/>
      <c r="I1281"/>
      <c r="J1281"/>
    </row>
    <row r="1282" spans="8:10" x14ac:dyDescent="0.3">
      <c r="H1282"/>
      <c r="I1282"/>
      <c r="J1282"/>
    </row>
    <row r="1283" spans="8:10" x14ac:dyDescent="0.3">
      <c r="H1283"/>
      <c r="I1283"/>
      <c r="J1283"/>
    </row>
    <row r="1284" spans="8:10" x14ac:dyDescent="0.3">
      <c r="H1284"/>
      <c r="I1284"/>
      <c r="J1284"/>
    </row>
    <row r="1285" spans="8:10" x14ac:dyDescent="0.3">
      <c r="H1285"/>
      <c r="I1285"/>
      <c r="J1285"/>
    </row>
    <row r="1286" spans="8:10" x14ac:dyDescent="0.3">
      <c r="H1286"/>
      <c r="I1286"/>
      <c r="J1286"/>
    </row>
    <row r="1287" spans="8:10" x14ac:dyDescent="0.3">
      <c r="H1287"/>
      <c r="I1287"/>
      <c r="J1287"/>
    </row>
    <row r="1288" spans="8:10" x14ac:dyDescent="0.3">
      <c r="H1288"/>
      <c r="I1288"/>
      <c r="J1288"/>
    </row>
    <row r="1289" spans="8:10" x14ac:dyDescent="0.3">
      <c r="H1289"/>
      <c r="I1289"/>
      <c r="J1289"/>
    </row>
    <row r="1290" spans="8:10" x14ac:dyDescent="0.3">
      <c r="H1290"/>
      <c r="I1290"/>
      <c r="J1290"/>
    </row>
    <row r="1291" spans="8:10" x14ac:dyDescent="0.3">
      <c r="H1291"/>
      <c r="I1291"/>
      <c r="J1291"/>
    </row>
    <row r="1292" spans="8:10" x14ac:dyDescent="0.3">
      <c r="H1292"/>
      <c r="I1292"/>
      <c r="J1292"/>
    </row>
    <row r="1293" spans="8:10" x14ac:dyDescent="0.3">
      <c r="H1293"/>
      <c r="I1293"/>
      <c r="J1293"/>
    </row>
    <row r="1294" spans="8:10" x14ac:dyDescent="0.3">
      <c r="H1294"/>
      <c r="I1294"/>
      <c r="J1294"/>
    </row>
    <row r="1295" spans="8:10" x14ac:dyDescent="0.3">
      <c r="H1295"/>
      <c r="I1295"/>
      <c r="J1295"/>
    </row>
    <row r="1296" spans="8:10" x14ac:dyDescent="0.3">
      <c r="H1296"/>
      <c r="I1296"/>
      <c r="J1296"/>
    </row>
    <row r="1297" spans="8:10" x14ac:dyDescent="0.3">
      <c r="H1297"/>
      <c r="I1297"/>
      <c r="J1297"/>
    </row>
    <row r="1298" spans="8:10" x14ac:dyDescent="0.3">
      <c r="H1298"/>
      <c r="I1298"/>
      <c r="J1298"/>
    </row>
    <row r="1299" spans="8:10" x14ac:dyDescent="0.3">
      <c r="H1299"/>
      <c r="I1299"/>
      <c r="J1299"/>
    </row>
    <row r="1300" spans="8:10" x14ac:dyDescent="0.3">
      <c r="H1300"/>
      <c r="I1300"/>
      <c r="J1300"/>
    </row>
    <row r="1301" spans="8:10" x14ac:dyDescent="0.3">
      <c r="H1301"/>
      <c r="I1301"/>
      <c r="J1301"/>
    </row>
    <row r="1302" spans="8:10" x14ac:dyDescent="0.3">
      <c r="H1302"/>
      <c r="I1302"/>
      <c r="J1302"/>
    </row>
    <row r="1303" spans="8:10" x14ac:dyDescent="0.3">
      <c r="H1303"/>
      <c r="I1303"/>
      <c r="J1303"/>
    </row>
    <row r="1304" spans="8:10" x14ac:dyDescent="0.3">
      <c r="H1304"/>
      <c r="I1304"/>
      <c r="J1304"/>
    </row>
    <row r="1305" spans="8:10" x14ac:dyDescent="0.3">
      <c r="H1305"/>
      <c r="I1305"/>
      <c r="J1305"/>
    </row>
    <row r="1306" spans="8:10" x14ac:dyDescent="0.3">
      <c r="H1306"/>
      <c r="I1306"/>
      <c r="J1306"/>
    </row>
    <row r="1307" spans="8:10" x14ac:dyDescent="0.3">
      <c r="H1307"/>
      <c r="I1307"/>
      <c r="J1307"/>
    </row>
    <row r="1308" spans="8:10" x14ac:dyDescent="0.3">
      <c r="H1308"/>
      <c r="I1308"/>
      <c r="J1308"/>
    </row>
    <row r="1309" spans="8:10" x14ac:dyDescent="0.3">
      <c r="H1309"/>
      <c r="I1309"/>
      <c r="J1309"/>
    </row>
    <row r="1310" spans="8:10" x14ac:dyDescent="0.3">
      <c r="H1310"/>
      <c r="I1310"/>
      <c r="J1310"/>
    </row>
    <row r="1311" spans="8:10" x14ac:dyDescent="0.3">
      <c r="H1311"/>
      <c r="I1311"/>
      <c r="J1311"/>
    </row>
    <row r="1312" spans="8:10" x14ac:dyDescent="0.3">
      <c r="H1312"/>
      <c r="I1312"/>
      <c r="J1312"/>
    </row>
    <row r="1313" spans="8:10" x14ac:dyDescent="0.3">
      <c r="H1313"/>
      <c r="I1313"/>
      <c r="J1313"/>
    </row>
    <row r="1314" spans="8:10" x14ac:dyDescent="0.3">
      <c r="H1314"/>
      <c r="I1314"/>
      <c r="J1314"/>
    </row>
    <row r="1315" spans="8:10" x14ac:dyDescent="0.3">
      <c r="H1315"/>
      <c r="I1315"/>
      <c r="J1315"/>
    </row>
    <row r="1316" spans="8:10" x14ac:dyDescent="0.3">
      <c r="H1316"/>
      <c r="I1316"/>
      <c r="J1316"/>
    </row>
    <row r="1317" spans="8:10" x14ac:dyDescent="0.3">
      <c r="H1317"/>
      <c r="I1317"/>
      <c r="J1317"/>
    </row>
    <row r="1318" spans="8:10" x14ac:dyDescent="0.3">
      <c r="H1318"/>
      <c r="I1318"/>
      <c r="J1318"/>
    </row>
    <row r="1319" spans="8:10" x14ac:dyDescent="0.3">
      <c r="H1319"/>
      <c r="I1319"/>
      <c r="J1319"/>
    </row>
    <row r="1320" spans="8:10" x14ac:dyDescent="0.3">
      <c r="H1320"/>
      <c r="I1320"/>
      <c r="J1320"/>
    </row>
    <row r="1321" spans="8:10" x14ac:dyDescent="0.3">
      <c r="H1321"/>
      <c r="I1321"/>
      <c r="J1321"/>
    </row>
    <row r="1322" spans="8:10" x14ac:dyDescent="0.3">
      <c r="H1322"/>
      <c r="I1322"/>
      <c r="J1322"/>
    </row>
    <row r="1323" spans="8:10" x14ac:dyDescent="0.3">
      <c r="H1323"/>
      <c r="I1323"/>
      <c r="J1323"/>
    </row>
    <row r="1324" spans="8:10" x14ac:dyDescent="0.3">
      <c r="H1324"/>
      <c r="I1324"/>
      <c r="J1324"/>
    </row>
    <row r="1325" spans="8:10" x14ac:dyDescent="0.3">
      <c r="H1325"/>
      <c r="I1325"/>
      <c r="J1325"/>
    </row>
    <row r="1326" spans="8:10" x14ac:dyDescent="0.3">
      <c r="H1326"/>
      <c r="I1326"/>
      <c r="J1326"/>
    </row>
    <row r="1327" spans="8:10" x14ac:dyDescent="0.3">
      <c r="H1327"/>
      <c r="I1327"/>
      <c r="J1327"/>
    </row>
    <row r="1328" spans="8:10" x14ac:dyDescent="0.3">
      <c r="H1328"/>
      <c r="I1328"/>
      <c r="J1328"/>
    </row>
    <row r="1329" spans="8:10" x14ac:dyDescent="0.3">
      <c r="H1329"/>
      <c r="I1329"/>
      <c r="J1329"/>
    </row>
    <row r="1330" spans="8:10" x14ac:dyDescent="0.3">
      <c r="H1330"/>
      <c r="I1330"/>
      <c r="J1330"/>
    </row>
    <row r="1331" spans="8:10" x14ac:dyDescent="0.3">
      <c r="H1331"/>
      <c r="I1331"/>
      <c r="J1331"/>
    </row>
    <row r="1332" spans="8:10" x14ac:dyDescent="0.3">
      <c r="H1332"/>
      <c r="I1332"/>
      <c r="J1332"/>
    </row>
    <row r="1333" spans="8:10" x14ac:dyDescent="0.3">
      <c r="H1333"/>
      <c r="I1333"/>
      <c r="J1333"/>
    </row>
    <row r="1334" spans="8:10" x14ac:dyDescent="0.3">
      <c r="H1334"/>
      <c r="I1334"/>
      <c r="J1334"/>
    </row>
    <row r="1335" spans="8:10" x14ac:dyDescent="0.3">
      <c r="H1335"/>
      <c r="I1335"/>
      <c r="J1335"/>
    </row>
    <row r="1336" spans="8:10" x14ac:dyDescent="0.3">
      <c r="H1336"/>
      <c r="I1336"/>
      <c r="J1336"/>
    </row>
    <row r="1337" spans="8:10" x14ac:dyDescent="0.3">
      <c r="H1337"/>
      <c r="I1337"/>
      <c r="J1337"/>
    </row>
    <row r="1338" spans="8:10" x14ac:dyDescent="0.3">
      <c r="H1338"/>
      <c r="I1338"/>
      <c r="J1338"/>
    </row>
    <row r="1339" spans="8:10" x14ac:dyDescent="0.3">
      <c r="H1339"/>
      <c r="I1339"/>
      <c r="J1339"/>
    </row>
    <row r="1340" spans="8:10" x14ac:dyDescent="0.3">
      <c r="H1340"/>
      <c r="I1340"/>
      <c r="J1340"/>
    </row>
    <row r="1341" spans="8:10" x14ac:dyDescent="0.3">
      <c r="H1341"/>
      <c r="I1341"/>
      <c r="J1341"/>
    </row>
    <row r="1342" spans="8:10" x14ac:dyDescent="0.3">
      <c r="H1342"/>
      <c r="I1342"/>
      <c r="J1342"/>
    </row>
    <row r="1343" spans="8:10" x14ac:dyDescent="0.3">
      <c r="H1343"/>
      <c r="I1343"/>
      <c r="J1343"/>
    </row>
    <row r="1344" spans="8:10" x14ac:dyDescent="0.3">
      <c r="H1344"/>
      <c r="I1344"/>
      <c r="J1344"/>
    </row>
    <row r="1345" spans="8:10" x14ac:dyDescent="0.3">
      <c r="H1345"/>
      <c r="I1345"/>
      <c r="J1345"/>
    </row>
    <row r="1346" spans="8:10" x14ac:dyDescent="0.3">
      <c r="H1346"/>
      <c r="I1346"/>
      <c r="J1346"/>
    </row>
    <row r="1347" spans="8:10" x14ac:dyDescent="0.3">
      <c r="H1347"/>
      <c r="I1347"/>
      <c r="J1347"/>
    </row>
    <row r="1348" spans="8:10" x14ac:dyDescent="0.3">
      <c r="H1348"/>
      <c r="I1348"/>
      <c r="J1348"/>
    </row>
    <row r="1349" spans="8:10" x14ac:dyDescent="0.3">
      <c r="H1349"/>
      <c r="I1349"/>
      <c r="J1349"/>
    </row>
    <row r="1350" spans="8:10" x14ac:dyDescent="0.3">
      <c r="H1350"/>
      <c r="I1350"/>
      <c r="J1350"/>
    </row>
    <row r="1351" spans="8:10" x14ac:dyDescent="0.3">
      <c r="H1351"/>
      <c r="I1351"/>
      <c r="J1351"/>
    </row>
    <row r="1352" spans="8:10" x14ac:dyDescent="0.3">
      <c r="H1352"/>
      <c r="I1352"/>
      <c r="J1352"/>
    </row>
    <row r="1353" spans="8:10" x14ac:dyDescent="0.3">
      <c r="H1353"/>
      <c r="I1353"/>
      <c r="J1353"/>
    </row>
    <row r="1354" spans="8:10" x14ac:dyDescent="0.3">
      <c r="H1354"/>
      <c r="I1354"/>
      <c r="J1354"/>
    </row>
    <row r="1355" spans="8:10" x14ac:dyDescent="0.3">
      <c r="H1355"/>
      <c r="I1355"/>
      <c r="J1355"/>
    </row>
    <row r="1356" spans="8:10" x14ac:dyDescent="0.3">
      <c r="H1356"/>
      <c r="I1356"/>
      <c r="J1356"/>
    </row>
    <row r="1357" spans="8:10" x14ac:dyDescent="0.3">
      <c r="H1357"/>
      <c r="I1357"/>
      <c r="J1357"/>
    </row>
    <row r="1358" spans="8:10" x14ac:dyDescent="0.3">
      <c r="H1358"/>
      <c r="I1358"/>
      <c r="J1358"/>
    </row>
    <row r="1359" spans="8:10" x14ac:dyDescent="0.3">
      <c r="H1359"/>
      <c r="I1359"/>
      <c r="J1359"/>
    </row>
    <row r="1360" spans="8:10" x14ac:dyDescent="0.3">
      <c r="H1360"/>
      <c r="I1360"/>
      <c r="J1360"/>
    </row>
    <row r="1361" spans="8:10" x14ac:dyDescent="0.3">
      <c r="H1361"/>
      <c r="I1361"/>
      <c r="J1361"/>
    </row>
    <row r="1362" spans="8:10" x14ac:dyDescent="0.3">
      <c r="H1362"/>
      <c r="I1362"/>
      <c r="J1362"/>
    </row>
    <row r="1363" spans="8:10" x14ac:dyDescent="0.3">
      <c r="H1363"/>
      <c r="I1363"/>
      <c r="J1363"/>
    </row>
    <row r="1364" spans="8:10" x14ac:dyDescent="0.3">
      <c r="H1364"/>
      <c r="I1364"/>
      <c r="J1364"/>
    </row>
    <row r="1365" spans="8:10" x14ac:dyDescent="0.3">
      <c r="H1365"/>
      <c r="I1365"/>
      <c r="J1365"/>
    </row>
    <row r="1366" spans="8:10" x14ac:dyDescent="0.3">
      <c r="H1366"/>
      <c r="I1366"/>
      <c r="J1366"/>
    </row>
    <row r="1367" spans="8:10" x14ac:dyDescent="0.3">
      <c r="H1367"/>
      <c r="I1367"/>
      <c r="J1367"/>
    </row>
    <row r="1368" spans="8:10" x14ac:dyDescent="0.3">
      <c r="H1368"/>
      <c r="I1368"/>
      <c r="J1368"/>
    </row>
    <row r="1369" spans="8:10" x14ac:dyDescent="0.3">
      <c r="H1369"/>
      <c r="I1369"/>
      <c r="J1369"/>
    </row>
    <row r="1370" spans="8:10" x14ac:dyDescent="0.3">
      <c r="H1370"/>
      <c r="I1370"/>
      <c r="J1370"/>
    </row>
    <row r="1371" spans="8:10" x14ac:dyDescent="0.3">
      <c r="H1371"/>
      <c r="I1371"/>
      <c r="J1371"/>
    </row>
    <row r="1372" spans="8:10" x14ac:dyDescent="0.3">
      <c r="H1372"/>
      <c r="I1372"/>
      <c r="J1372"/>
    </row>
    <row r="1373" spans="8:10" x14ac:dyDescent="0.3">
      <c r="H1373"/>
      <c r="I1373"/>
      <c r="J1373"/>
    </row>
    <row r="1374" spans="8:10" x14ac:dyDescent="0.3">
      <c r="H1374"/>
      <c r="I1374"/>
      <c r="J1374"/>
    </row>
    <row r="1375" spans="8:10" x14ac:dyDescent="0.3">
      <c r="H1375"/>
      <c r="I1375"/>
      <c r="J1375"/>
    </row>
    <row r="1376" spans="8:10" x14ac:dyDescent="0.3">
      <c r="H1376"/>
      <c r="I1376"/>
      <c r="J1376"/>
    </row>
    <row r="1377" spans="8:10" x14ac:dyDescent="0.3">
      <c r="H1377"/>
      <c r="I1377"/>
      <c r="J1377"/>
    </row>
    <row r="1378" spans="8:10" x14ac:dyDescent="0.3">
      <c r="H1378"/>
      <c r="I1378"/>
      <c r="J1378"/>
    </row>
    <row r="1379" spans="8:10" x14ac:dyDescent="0.3">
      <c r="H1379"/>
      <c r="I1379"/>
      <c r="J1379"/>
    </row>
    <row r="1380" spans="8:10" x14ac:dyDescent="0.3">
      <c r="H1380"/>
      <c r="I1380"/>
      <c r="J1380"/>
    </row>
    <row r="1381" spans="8:10" x14ac:dyDescent="0.3">
      <c r="H1381"/>
      <c r="I1381"/>
      <c r="J1381"/>
    </row>
    <row r="1382" spans="8:10" x14ac:dyDescent="0.3">
      <c r="H1382"/>
      <c r="I1382"/>
      <c r="J1382"/>
    </row>
    <row r="1383" spans="8:10" x14ac:dyDescent="0.3">
      <c r="H1383"/>
      <c r="I1383"/>
      <c r="J1383"/>
    </row>
    <row r="1384" spans="8:10" x14ac:dyDescent="0.3">
      <c r="H1384"/>
      <c r="I1384"/>
      <c r="J1384"/>
    </row>
    <row r="1385" spans="8:10" x14ac:dyDescent="0.3">
      <c r="H1385"/>
      <c r="I1385"/>
      <c r="J1385"/>
    </row>
    <row r="1386" spans="8:10" x14ac:dyDescent="0.3">
      <c r="H1386"/>
      <c r="I1386"/>
      <c r="J1386"/>
    </row>
    <row r="1387" spans="8:10" x14ac:dyDescent="0.3">
      <c r="H1387"/>
      <c r="I1387"/>
      <c r="J1387"/>
    </row>
    <row r="1388" spans="8:10" x14ac:dyDescent="0.3">
      <c r="H1388"/>
      <c r="I1388"/>
      <c r="J1388"/>
    </row>
    <row r="1389" spans="8:10" x14ac:dyDescent="0.3">
      <c r="H1389"/>
      <c r="I1389"/>
      <c r="J1389"/>
    </row>
    <row r="1390" spans="8:10" x14ac:dyDescent="0.3">
      <c r="H1390"/>
      <c r="I1390"/>
      <c r="J1390"/>
    </row>
    <row r="1391" spans="8:10" x14ac:dyDescent="0.3">
      <c r="H1391"/>
      <c r="I1391"/>
      <c r="J1391"/>
    </row>
    <row r="1392" spans="8:10" x14ac:dyDescent="0.3">
      <c r="H1392"/>
      <c r="I1392"/>
      <c r="J1392"/>
    </row>
    <row r="1393" spans="8:10" x14ac:dyDescent="0.3">
      <c r="H1393"/>
      <c r="I1393"/>
      <c r="J1393"/>
    </row>
    <row r="1394" spans="8:10" x14ac:dyDescent="0.3">
      <c r="H1394"/>
      <c r="I1394"/>
      <c r="J1394"/>
    </row>
    <row r="1395" spans="8:10" x14ac:dyDescent="0.3">
      <c r="H1395"/>
      <c r="I1395"/>
      <c r="J1395"/>
    </row>
    <row r="1396" spans="8:10" x14ac:dyDescent="0.3">
      <c r="H1396"/>
      <c r="I1396"/>
      <c r="J1396"/>
    </row>
    <row r="1397" spans="8:10" x14ac:dyDescent="0.3">
      <c r="H1397"/>
      <c r="I1397"/>
      <c r="J1397"/>
    </row>
    <row r="1398" spans="8:10" x14ac:dyDescent="0.3">
      <c r="H1398"/>
      <c r="I1398"/>
      <c r="J1398"/>
    </row>
    <row r="1399" spans="8:10" x14ac:dyDescent="0.3">
      <c r="H1399"/>
      <c r="I1399"/>
      <c r="J1399"/>
    </row>
    <row r="1400" spans="8:10" x14ac:dyDescent="0.3">
      <c r="H1400"/>
      <c r="I1400"/>
      <c r="J1400"/>
    </row>
    <row r="1401" spans="8:10" x14ac:dyDescent="0.3">
      <c r="H1401"/>
      <c r="I1401"/>
      <c r="J1401"/>
    </row>
    <row r="1402" spans="8:10" x14ac:dyDescent="0.3">
      <c r="H1402"/>
      <c r="I1402"/>
      <c r="J1402"/>
    </row>
    <row r="1403" spans="8:10" x14ac:dyDescent="0.3">
      <c r="H1403"/>
      <c r="I1403"/>
      <c r="J1403"/>
    </row>
    <row r="1404" spans="8:10" x14ac:dyDescent="0.3">
      <c r="H1404"/>
      <c r="I1404"/>
      <c r="J1404"/>
    </row>
    <row r="1405" spans="8:10" x14ac:dyDescent="0.3">
      <c r="H1405"/>
      <c r="I1405"/>
      <c r="J1405"/>
    </row>
    <row r="1406" spans="8:10" x14ac:dyDescent="0.3">
      <c r="H1406"/>
      <c r="I1406"/>
      <c r="J1406"/>
    </row>
    <row r="1407" spans="8:10" x14ac:dyDescent="0.3">
      <c r="H1407"/>
      <c r="I1407"/>
      <c r="J1407"/>
    </row>
    <row r="1408" spans="8:10" x14ac:dyDescent="0.3">
      <c r="H1408"/>
      <c r="I1408"/>
      <c r="J1408"/>
    </row>
    <row r="1409" spans="8:10" x14ac:dyDescent="0.3">
      <c r="H1409"/>
      <c r="I1409"/>
      <c r="J1409"/>
    </row>
    <row r="1410" spans="8:10" x14ac:dyDescent="0.3">
      <c r="H1410"/>
      <c r="I1410"/>
      <c r="J1410"/>
    </row>
    <row r="1411" spans="8:10" x14ac:dyDescent="0.3">
      <c r="H1411"/>
      <c r="I1411"/>
      <c r="J1411"/>
    </row>
    <row r="1412" spans="8:10" x14ac:dyDescent="0.3">
      <c r="H1412"/>
      <c r="I1412"/>
      <c r="J1412"/>
    </row>
    <row r="1413" spans="8:10" x14ac:dyDescent="0.3">
      <c r="H1413"/>
      <c r="I1413"/>
      <c r="J1413"/>
    </row>
    <row r="1414" spans="8:10" x14ac:dyDescent="0.3">
      <c r="H1414"/>
      <c r="I1414"/>
      <c r="J1414"/>
    </row>
    <row r="1415" spans="8:10" x14ac:dyDescent="0.3">
      <c r="H1415"/>
      <c r="I1415"/>
      <c r="J1415"/>
    </row>
    <row r="1416" spans="8:10" x14ac:dyDescent="0.3">
      <c r="H1416"/>
      <c r="I1416"/>
      <c r="J1416"/>
    </row>
    <row r="1417" spans="8:10" x14ac:dyDescent="0.3">
      <c r="H1417"/>
      <c r="I1417"/>
      <c r="J1417"/>
    </row>
    <row r="1418" spans="8:10" x14ac:dyDescent="0.3">
      <c r="H1418"/>
      <c r="I1418"/>
      <c r="J1418"/>
    </row>
    <row r="1419" spans="8:10" x14ac:dyDescent="0.3">
      <c r="H1419"/>
      <c r="I1419"/>
      <c r="J1419"/>
    </row>
    <row r="1420" spans="8:10" x14ac:dyDescent="0.3">
      <c r="H1420"/>
      <c r="I1420"/>
      <c r="J1420"/>
    </row>
    <row r="1421" spans="8:10" x14ac:dyDescent="0.3">
      <c r="H1421"/>
      <c r="I1421"/>
      <c r="J1421"/>
    </row>
    <row r="1422" spans="8:10" x14ac:dyDescent="0.3">
      <c r="H1422"/>
      <c r="I1422"/>
      <c r="J1422"/>
    </row>
    <row r="1423" spans="8:10" x14ac:dyDescent="0.3">
      <c r="H1423"/>
      <c r="I1423"/>
      <c r="J1423"/>
    </row>
    <row r="1424" spans="8:10" x14ac:dyDescent="0.3">
      <c r="H1424"/>
      <c r="I1424"/>
      <c r="J1424"/>
    </row>
    <row r="1425" spans="8:10" x14ac:dyDescent="0.3">
      <c r="H1425"/>
      <c r="I1425"/>
      <c r="J1425"/>
    </row>
    <row r="1426" spans="8:10" x14ac:dyDescent="0.3">
      <c r="H1426"/>
      <c r="I1426"/>
      <c r="J1426"/>
    </row>
    <row r="1427" spans="8:10" x14ac:dyDescent="0.3">
      <c r="H1427"/>
      <c r="I1427"/>
      <c r="J1427"/>
    </row>
    <row r="1428" spans="8:10" x14ac:dyDescent="0.3">
      <c r="H1428"/>
      <c r="I1428"/>
      <c r="J1428"/>
    </row>
    <row r="1429" spans="8:10" x14ac:dyDescent="0.3">
      <c r="H1429"/>
      <c r="I1429"/>
      <c r="J1429"/>
    </row>
    <row r="1430" spans="8:10" x14ac:dyDescent="0.3">
      <c r="H1430"/>
      <c r="I1430"/>
      <c r="J1430"/>
    </row>
    <row r="1431" spans="8:10" x14ac:dyDescent="0.3">
      <c r="H1431"/>
      <c r="I1431"/>
      <c r="J1431"/>
    </row>
    <row r="1432" spans="8:10" x14ac:dyDescent="0.3">
      <c r="H1432"/>
      <c r="I1432"/>
      <c r="J1432"/>
    </row>
    <row r="1433" spans="8:10" x14ac:dyDescent="0.3">
      <c r="H1433"/>
      <c r="I1433"/>
      <c r="J1433"/>
    </row>
    <row r="1434" spans="8:10" x14ac:dyDescent="0.3">
      <c r="H1434"/>
      <c r="I1434"/>
      <c r="J1434"/>
    </row>
    <row r="1435" spans="8:10" x14ac:dyDescent="0.3">
      <c r="H1435"/>
      <c r="I1435"/>
      <c r="J1435"/>
    </row>
    <row r="1436" spans="8:10" x14ac:dyDescent="0.3">
      <c r="H1436"/>
      <c r="I1436"/>
      <c r="J1436"/>
    </row>
    <row r="1437" spans="8:10" x14ac:dyDescent="0.3">
      <c r="H1437"/>
      <c r="I1437"/>
      <c r="J1437"/>
    </row>
    <row r="1438" spans="8:10" x14ac:dyDescent="0.3">
      <c r="H1438"/>
      <c r="I1438"/>
      <c r="J1438"/>
    </row>
    <row r="1439" spans="8:10" x14ac:dyDescent="0.3">
      <c r="H1439"/>
      <c r="I1439"/>
      <c r="J1439"/>
    </row>
    <row r="1440" spans="8:10" x14ac:dyDescent="0.3">
      <c r="H1440"/>
      <c r="I1440"/>
      <c r="J1440"/>
    </row>
    <row r="1441" spans="8:10" x14ac:dyDescent="0.3">
      <c r="H1441"/>
      <c r="I1441"/>
      <c r="J1441"/>
    </row>
    <row r="1442" spans="8:10" x14ac:dyDescent="0.3">
      <c r="H1442"/>
      <c r="I1442"/>
      <c r="J1442"/>
    </row>
    <row r="1443" spans="8:10" x14ac:dyDescent="0.3">
      <c r="H1443"/>
      <c r="I1443"/>
      <c r="J1443"/>
    </row>
    <row r="1444" spans="8:10" x14ac:dyDescent="0.3">
      <c r="H1444"/>
      <c r="I1444"/>
      <c r="J1444"/>
    </row>
    <row r="1445" spans="8:10" x14ac:dyDescent="0.3">
      <c r="H1445"/>
      <c r="I1445"/>
      <c r="J1445"/>
    </row>
    <row r="1446" spans="8:10" x14ac:dyDescent="0.3">
      <c r="H1446"/>
      <c r="I1446"/>
      <c r="J1446"/>
    </row>
    <row r="1447" spans="8:10" x14ac:dyDescent="0.3">
      <c r="H1447"/>
      <c r="I1447"/>
      <c r="J1447"/>
    </row>
    <row r="1448" spans="8:10" x14ac:dyDescent="0.3">
      <c r="H1448"/>
      <c r="I1448"/>
      <c r="J1448"/>
    </row>
    <row r="1449" spans="8:10" x14ac:dyDescent="0.3">
      <c r="H1449"/>
      <c r="I1449"/>
      <c r="J1449"/>
    </row>
    <row r="1450" spans="8:10" x14ac:dyDescent="0.3">
      <c r="H1450"/>
      <c r="I1450"/>
      <c r="J1450"/>
    </row>
    <row r="1451" spans="8:10" x14ac:dyDescent="0.3">
      <c r="H1451"/>
      <c r="I1451"/>
      <c r="J1451"/>
    </row>
    <row r="1452" spans="8:10" x14ac:dyDescent="0.3">
      <c r="H1452"/>
      <c r="I1452"/>
      <c r="J1452"/>
    </row>
    <row r="1453" spans="8:10" x14ac:dyDescent="0.3">
      <c r="H1453"/>
      <c r="I1453"/>
      <c r="J1453"/>
    </row>
    <row r="1454" spans="8:10" x14ac:dyDescent="0.3">
      <c r="H1454"/>
      <c r="I1454"/>
      <c r="J1454"/>
    </row>
    <row r="1455" spans="8:10" x14ac:dyDescent="0.3">
      <c r="H1455"/>
      <c r="I1455"/>
      <c r="J1455"/>
    </row>
    <row r="1456" spans="8:10" x14ac:dyDescent="0.3">
      <c r="H1456"/>
      <c r="I1456"/>
      <c r="J1456"/>
    </row>
    <row r="1457" spans="8:10" x14ac:dyDescent="0.3">
      <c r="H1457"/>
      <c r="I1457"/>
      <c r="J1457"/>
    </row>
    <row r="1458" spans="8:10" x14ac:dyDescent="0.3">
      <c r="H1458"/>
      <c r="I1458"/>
      <c r="J1458"/>
    </row>
    <row r="1459" spans="8:10" x14ac:dyDescent="0.3">
      <c r="H1459"/>
      <c r="I1459"/>
      <c r="J1459"/>
    </row>
    <row r="1460" spans="8:10" x14ac:dyDescent="0.3">
      <c r="H1460"/>
      <c r="I1460"/>
      <c r="J1460"/>
    </row>
    <row r="1461" spans="8:10" x14ac:dyDescent="0.3">
      <c r="H1461"/>
      <c r="I1461"/>
      <c r="J1461"/>
    </row>
    <row r="1462" spans="8:10" x14ac:dyDescent="0.3">
      <c r="H1462"/>
      <c r="I1462"/>
      <c r="J1462"/>
    </row>
    <row r="1463" spans="8:10" x14ac:dyDescent="0.3">
      <c r="H1463"/>
      <c r="I1463"/>
      <c r="J1463"/>
    </row>
    <row r="1464" spans="8:10" x14ac:dyDescent="0.3">
      <c r="H1464"/>
      <c r="I1464"/>
      <c r="J1464"/>
    </row>
    <row r="1465" spans="8:10" x14ac:dyDescent="0.3">
      <c r="H1465"/>
      <c r="I1465"/>
      <c r="J1465"/>
    </row>
    <row r="1466" spans="8:10" x14ac:dyDescent="0.3">
      <c r="H1466"/>
      <c r="I1466"/>
      <c r="J1466"/>
    </row>
    <row r="1467" spans="8:10" x14ac:dyDescent="0.3">
      <c r="H1467"/>
      <c r="I1467"/>
      <c r="J1467"/>
    </row>
    <row r="1468" spans="8:10" x14ac:dyDescent="0.3">
      <c r="H1468"/>
      <c r="I1468"/>
      <c r="J1468"/>
    </row>
    <row r="1469" spans="8:10" x14ac:dyDescent="0.3">
      <c r="H1469"/>
      <c r="I1469"/>
      <c r="J1469"/>
    </row>
    <row r="1470" spans="8:10" x14ac:dyDescent="0.3">
      <c r="H1470"/>
      <c r="I1470"/>
      <c r="J1470"/>
    </row>
    <row r="1471" spans="8:10" x14ac:dyDescent="0.3">
      <c r="H1471"/>
      <c r="I1471"/>
      <c r="J1471"/>
    </row>
    <row r="1472" spans="8:10" x14ac:dyDescent="0.3">
      <c r="H1472"/>
      <c r="I1472"/>
      <c r="J1472"/>
    </row>
    <row r="1473" spans="8:10" x14ac:dyDescent="0.3">
      <c r="H1473"/>
      <c r="I1473"/>
      <c r="J1473"/>
    </row>
    <row r="1474" spans="8:10" x14ac:dyDescent="0.3">
      <c r="H1474"/>
      <c r="I1474"/>
      <c r="J1474"/>
    </row>
    <row r="1475" spans="8:10" x14ac:dyDescent="0.3">
      <c r="H1475"/>
      <c r="I1475"/>
      <c r="J1475"/>
    </row>
    <row r="1476" spans="8:10" x14ac:dyDescent="0.3">
      <c r="H1476"/>
      <c r="I1476"/>
      <c r="J1476"/>
    </row>
    <row r="1477" spans="8:10" x14ac:dyDescent="0.3">
      <c r="H1477"/>
      <c r="I1477"/>
      <c r="J1477"/>
    </row>
    <row r="1478" spans="8:10" x14ac:dyDescent="0.3">
      <c r="H1478"/>
      <c r="I1478"/>
      <c r="J1478"/>
    </row>
    <row r="1479" spans="8:10" x14ac:dyDescent="0.3">
      <c r="H1479"/>
      <c r="I1479"/>
      <c r="J1479"/>
    </row>
    <row r="1480" spans="8:10" x14ac:dyDescent="0.3">
      <c r="H1480"/>
      <c r="I1480"/>
      <c r="J1480"/>
    </row>
    <row r="1481" spans="8:10" x14ac:dyDescent="0.3">
      <c r="H1481"/>
      <c r="I1481"/>
      <c r="J1481"/>
    </row>
    <row r="1482" spans="8:10" x14ac:dyDescent="0.3">
      <c r="H1482"/>
      <c r="I1482"/>
      <c r="J1482"/>
    </row>
    <row r="1483" spans="8:10" x14ac:dyDescent="0.3">
      <c r="H1483"/>
      <c r="I1483"/>
      <c r="J1483"/>
    </row>
    <row r="1484" spans="8:10" x14ac:dyDescent="0.3">
      <c r="H1484"/>
      <c r="I1484"/>
      <c r="J1484"/>
    </row>
    <row r="1485" spans="8:10" x14ac:dyDescent="0.3">
      <c r="H1485"/>
      <c r="I1485"/>
      <c r="J1485"/>
    </row>
    <row r="1486" spans="8:10" x14ac:dyDescent="0.3">
      <c r="H1486"/>
      <c r="I1486"/>
      <c r="J1486"/>
    </row>
    <row r="1487" spans="8:10" x14ac:dyDescent="0.3">
      <c r="H1487"/>
      <c r="I1487"/>
      <c r="J1487"/>
    </row>
    <row r="1488" spans="8:10" x14ac:dyDescent="0.3">
      <c r="H1488"/>
      <c r="I1488"/>
      <c r="J1488"/>
    </row>
    <row r="1489" spans="8:10" x14ac:dyDescent="0.3">
      <c r="H1489"/>
      <c r="I1489"/>
      <c r="J1489"/>
    </row>
    <row r="1490" spans="8:10" x14ac:dyDescent="0.3">
      <c r="H1490"/>
      <c r="I1490"/>
      <c r="J1490"/>
    </row>
    <row r="1491" spans="8:10" x14ac:dyDescent="0.3">
      <c r="H1491"/>
      <c r="I1491"/>
      <c r="J1491"/>
    </row>
    <row r="1492" spans="8:10" x14ac:dyDescent="0.3">
      <c r="H1492"/>
      <c r="I1492"/>
      <c r="J1492"/>
    </row>
    <row r="1493" spans="8:10" x14ac:dyDescent="0.3">
      <c r="H1493"/>
      <c r="I1493"/>
      <c r="J1493"/>
    </row>
    <row r="1494" spans="8:10" x14ac:dyDescent="0.3">
      <c r="H1494"/>
      <c r="I1494"/>
      <c r="J1494"/>
    </row>
    <row r="1495" spans="8:10" x14ac:dyDescent="0.3">
      <c r="H1495"/>
      <c r="I1495"/>
      <c r="J1495"/>
    </row>
    <row r="1496" spans="8:10" x14ac:dyDescent="0.3">
      <c r="H1496"/>
      <c r="I1496"/>
      <c r="J1496"/>
    </row>
    <row r="1497" spans="8:10" x14ac:dyDescent="0.3">
      <c r="H1497"/>
      <c r="I1497"/>
      <c r="J1497"/>
    </row>
    <row r="1498" spans="8:10" x14ac:dyDescent="0.3">
      <c r="H1498"/>
      <c r="I1498"/>
      <c r="J1498"/>
    </row>
    <row r="1499" spans="8:10" x14ac:dyDescent="0.3">
      <c r="H1499"/>
      <c r="I1499"/>
      <c r="J1499"/>
    </row>
    <row r="1500" spans="8:10" x14ac:dyDescent="0.3">
      <c r="H1500"/>
      <c r="I1500"/>
      <c r="J1500"/>
    </row>
    <row r="1501" spans="8:10" x14ac:dyDescent="0.3">
      <c r="H1501"/>
      <c r="I1501"/>
      <c r="J1501"/>
    </row>
    <row r="1502" spans="8:10" x14ac:dyDescent="0.3">
      <c r="H1502"/>
      <c r="I1502"/>
      <c r="J1502"/>
    </row>
    <row r="1503" spans="8:10" x14ac:dyDescent="0.3">
      <c r="H1503"/>
      <c r="I1503"/>
      <c r="J1503"/>
    </row>
    <row r="1504" spans="8:10" x14ac:dyDescent="0.3">
      <c r="H1504"/>
      <c r="I1504"/>
      <c r="J1504"/>
    </row>
    <row r="1505" spans="8:10" x14ac:dyDescent="0.3">
      <c r="H1505"/>
      <c r="I1505"/>
      <c r="J1505"/>
    </row>
    <row r="1506" spans="8:10" x14ac:dyDescent="0.3">
      <c r="H1506"/>
      <c r="I1506"/>
      <c r="J1506"/>
    </row>
    <row r="1507" spans="8:10" x14ac:dyDescent="0.3">
      <c r="H1507"/>
      <c r="I1507"/>
      <c r="J1507"/>
    </row>
    <row r="1508" spans="8:10" x14ac:dyDescent="0.3">
      <c r="H1508"/>
      <c r="I1508"/>
      <c r="J1508"/>
    </row>
    <row r="1509" spans="8:10" x14ac:dyDescent="0.3">
      <c r="H1509"/>
      <c r="I1509"/>
      <c r="J1509"/>
    </row>
    <row r="1510" spans="8:10" x14ac:dyDescent="0.3">
      <c r="H1510"/>
      <c r="I1510"/>
      <c r="J1510"/>
    </row>
    <row r="1511" spans="8:10" x14ac:dyDescent="0.3">
      <c r="H1511"/>
      <c r="I1511"/>
      <c r="J1511"/>
    </row>
    <row r="1512" spans="8:10" x14ac:dyDescent="0.3">
      <c r="H1512"/>
      <c r="I1512"/>
      <c r="J1512"/>
    </row>
    <row r="1513" spans="8:10" x14ac:dyDescent="0.3">
      <c r="H1513"/>
      <c r="I1513"/>
      <c r="J1513"/>
    </row>
    <row r="1514" spans="8:10" x14ac:dyDescent="0.3">
      <c r="H1514"/>
      <c r="I1514"/>
      <c r="J1514"/>
    </row>
    <row r="1515" spans="8:10" x14ac:dyDescent="0.3">
      <c r="H1515"/>
      <c r="I1515"/>
      <c r="J1515"/>
    </row>
    <row r="1516" spans="8:10" x14ac:dyDescent="0.3">
      <c r="H1516"/>
      <c r="I1516"/>
      <c r="J1516"/>
    </row>
    <row r="1517" spans="8:10" x14ac:dyDescent="0.3">
      <c r="H1517"/>
      <c r="I1517"/>
      <c r="J1517"/>
    </row>
    <row r="1518" spans="8:10" x14ac:dyDescent="0.3">
      <c r="H1518"/>
      <c r="I1518"/>
      <c r="J1518"/>
    </row>
    <row r="1519" spans="8:10" x14ac:dyDescent="0.3">
      <c r="H1519"/>
      <c r="I1519"/>
      <c r="J1519"/>
    </row>
    <row r="1520" spans="8:10" x14ac:dyDescent="0.3">
      <c r="H1520"/>
      <c r="I1520"/>
      <c r="J1520"/>
    </row>
    <row r="1521" spans="8:10" x14ac:dyDescent="0.3">
      <c r="H1521"/>
      <c r="I1521"/>
      <c r="J1521"/>
    </row>
    <row r="1522" spans="8:10" x14ac:dyDescent="0.3">
      <c r="H1522"/>
      <c r="I1522"/>
      <c r="J1522"/>
    </row>
    <row r="1523" spans="8:10" x14ac:dyDescent="0.3">
      <c r="H1523"/>
      <c r="I1523"/>
      <c r="J1523"/>
    </row>
    <row r="1524" spans="8:10" x14ac:dyDescent="0.3">
      <c r="H1524"/>
      <c r="I1524"/>
      <c r="J1524"/>
    </row>
    <row r="1525" spans="8:10" x14ac:dyDescent="0.3">
      <c r="H1525"/>
      <c r="I1525"/>
      <c r="J1525"/>
    </row>
    <row r="1526" spans="8:10" x14ac:dyDescent="0.3">
      <c r="H1526"/>
      <c r="I1526"/>
      <c r="J1526"/>
    </row>
    <row r="1527" spans="8:10" x14ac:dyDescent="0.3">
      <c r="H1527"/>
      <c r="I1527"/>
      <c r="J1527"/>
    </row>
    <row r="1528" spans="8:10" x14ac:dyDescent="0.3">
      <c r="H1528"/>
      <c r="I1528"/>
      <c r="J1528"/>
    </row>
    <row r="1529" spans="8:10" x14ac:dyDescent="0.3">
      <c r="H1529"/>
      <c r="I1529"/>
      <c r="J1529"/>
    </row>
    <row r="1530" spans="8:10" x14ac:dyDescent="0.3">
      <c r="H1530"/>
      <c r="I1530"/>
      <c r="J1530"/>
    </row>
    <row r="1531" spans="8:10" x14ac:dyDescent="0.3">
      <c r="H1531"/>
      <c r="I1531"/>
      <c r="J1531"/>
    </row>
    <row r="1532" spans="8:10" x14ac:dyDescent="0.3">
      <c r="H1532"/>
      <c r="I1532"/>
      <c r="J1532"/>
    </row>
    <row r="1533" spans="8:10" x14ac:dyDescent="0.3">
      <c r="H1533"/>
      <c r="I1533"/>
      <c r="J1533"/>
    </row>
    <row r="1534" spans="8:10" x14ac:dyDescent="0.3">
      <c r="H1534"/>
      <c r="I1534"/>
      <c r="J1534"/>
    </row>
    <row r="1535" spans="8:10" x14ac:dyDescent="0.3">
      <c r="H1535"/>
      <c r="I1535"/>
      <c r="J1535"/>
    </row>
    <row r="1536" spans="8:10" x14ac:dyDescent="0.3">
      <c r="H1536"/>
      <c r="I1536"/>
      <c r="J1536"/>
    </row>
    <row r="1537" spans="8:10" x14ac:dyDescent="0.3">
      <c r="H1537"/>
      <c r="I1537"/>
      <c r="J1537"/>
    </row>
    <row r="1538" spans="8:10" x14ac:dyDescent="0.3">
      <c r="H1538"/>
      <c r="I1538"/>
      <c r="J1538"/>
    </row>
    <row r="1539" spans="8:10" x14ac:dyDescent="0.3">
      <c r="H1539"/>
      <c r="I1539"/>
      <c r="J1539"/>
    </row>
    <row r="1540" spans="8:10" x14ac:dyDescent="0.3">
      <c r="H1540"/>
      <c r="I1540"/>
      <c r="J1540"/>
    </row>
    <row r="1541" spans="8:10" x14ac:dyDescent="0.3">
      <c r="H1541"/>
      <c r="I1541"/>
      <c r="J1541"/>
    </row>
    <row r="1542" spans="8:10" x14ac:dyDescent="0.3">
      <c r="H1542"/>
      <c r="I1542"/>
      <c r="J1542"/>
    </row>
    <row r="1543" spans="8:10" x14ac:dyDescent="0.3">
      <c r="H1543"/>
      <c r="I1543"/>
      <c r="J1543"/>
    </row>
    <row r="1544" spans="8:10" x14ac:dyDescent="0.3">
      <c r="H1544"/>
      <c r="I1544"/>
      <c r="J1544"/>
    </row>
    <row r="1545" spans="8:10" x14ac:dyDescent="0.3">
      <c r="H1545"/>
      <c r="I1545"/>
      <c r="J1545"/>
    </row>
    <row r="1546" spans="8:10" x14ac:dyDescent="0.3">
      <c r="H1546"/>
      <c r="I1546"/>
      <c r="J1546"/>
    </row>
    <row r="1547" spans="8:10" x14ac:dyDescent="0.3">
      <c r="H1547"/>
      <c r="I1547"/>
      <c r="J1547"/>
    </row>
    <row r="1548" spans="8:10" x14ac:dyDescent="0.3">
      <c r="H1548"/>
      <c r="I1548"/>
      <c r="J1548"/>
    </row>
    <row r="1549" spans="8:10" x14ac:dyDescent="0.3">
      <c r="H1549"/>
      <c r="I1549"/>
      <c r="J1549"/>
    </row>
    <row r="1550" spans="8:10" x14ac:dyDescent="0.3">
      <c r="H1550"/>
      <c r="I1550"/>
      <c r="J1550"/>
    </row>
    <row r="1551" spans="8:10" x14ac:dyDescent="0.3">
      <c r="H1551"/>
      <c r="I1551"/>
      <c r="J1551"/>
    </row>
    <row r="1552" spans="8:10" x14ac:dyDescent="0.3">
      <c r="H1552"/>
      <c r="I1552"/>
      <c r="J1552"/>
    </row>
    <row r="1553" spans="8:10" x14ac:dyDescent="0.3">
      <c r="H1553"/>
      <c r="I1553"/>
      <c r="J1553"/>
    </row>
    <row r="1554" spans="8:10" x14ac:dyDescent="0.3">
      <c r="H1554"/>
      <c r="I1554"/>
      <c r="J1554"/>
    </row>
    <row r="1555" spans="8:10" x14ac:dyDescent="0.3">
      <c r="H1555"/>
      <c r="I1555"/>
      <c r="J1555"/>
    </row>
    <row r="1556" spans="8:10" x14ac:dyDescent="0.3">
      <c r="H1556"/>
      <c r="I1556"/>
      <c r="J1556"/>
    </row>
    <row r="1557" spans="8:10" x14ac:dyDescent="0.3">
      <c r="H1557"/>
      <c r="I1557"/>
      <c r="J1557"/>
    </row>
    <row r="1558" spans="8:10" x14ac:dyDescent="0.3">
      <c r="H1558"/>
      <c r="I1558"/>
      <c r="J1558"/>
    </row>
    <row r="1559" spans="8:10" x14ac:dyDescent="0.3">
      <c r="H1559"/>
      <c r="I1559"/>
      <c r="J1559"/>
    </row>
    <row r="1560" spans="8:10" x14ac:dyDescent="0.3">
      <c r="H1560"/>
      <c r="I1560"/>
      <c r="J1560"/>
    </row>
    <row r="1561" spans="8:10" x14ac:dyDescent="0.3">
      <c r="H1561"/>
      <c r="I1561"/>
      <c r="J1561"/>
    </row>
    <row r="1562" spans="8:10" x14ac:dyDescent="0.3">
      <c r="H1562"/>
      <c r="I1562"/>
      <c r="J1562"/>
    </row>
    <row r="1563" spans="8:10" x14ac:dyDescent="0.3">
      <c r="H1563"/>
      <c r="I1563"/>
      <c r="J1563"/>
    </row>
    <row r="1564" spans="8:10" x14ac:dyDescent="0.3">
      <c r="H1564"/>
      <c r="I1564"/>
      <c r="J1564"/>
    </row>
    <row r="1565" spans="8:10" x14ac:dyDescent="0.3">
      <c r="H1565"/>
      <c r="I1565"/>
      <c r="J1565"/>
    </row>
    <row r="1566" spans="8:10" x14ac:dyDescent="0.3">
      <c r="H1566"/>
      <c r="I1566"/>
      <c r="J1566"/>
    </row>
    <row r="1567" spans="8:10" x14ac:dyDescent="0.3">
      <c r="H1567"/>
      <c r="I1567"/>
      <c r="J1567"/>
    </row>
    <row r="1568" spans="8:10" x14ac:dyDescent="0.3">
      <c r="H1568"/>
      <c r="I1568"/>
      <c r="J1568"/>
    </row>
    <row r="1569" spans="8:10" x14ac:dyDescent="0.3">
      <c r="H1569"/>
      <c r="I1569"/>
      <c r="J1569"/>
    </row>
    <row r="1570" spans="8:10" x14ac:dyDescent="0.3">
      <c r="H1570"/>
      <c r="I1570"/>
      <c r="J1570"/>
    </row>
    <row r="1571" spans="8:10" x14ac:dyDescent="0.3">
      <c r="H1571"/>
      <c r="I1571"/>
      <c r="J1571"/>
    </row>
    <row r="1572" spans="8:10" x14ac:dyDescent="0.3">
      <c r="H1572"/>
      <c r="I1572"/>
      <c r="J1572"/>
    </row>
    <row r="1573" spans="8:10" x14ac:dyDescent="0.3">
      <c r="H1573"/>
      <c r="I1573"/>
      <c r="J1573"/>
    </row>
    <row r="1574" spans="8:10" x14ac:dyDescent="0.3">
      <c r="H1574"/>
      <c r="I1574"/>
      <c r="J1574"/>
    </row>
    <row r="1575" spans="8:10" x14ac:dyDescent="0.3">
      <c r="H1575"/>
      <c r="I1575"/>
      <c r="J1575"/>
    </row>
    <row r="1576" spans="8:10" x14ac:dyDescent="0.3">
      <c r="H1576"/>
      <c r="I1576"/>
      <c r="J1576"/>
    </row>
    <row r="1577" spans="8:10" x14ac:dyDescent="0.3">
      <c r="H1577"/>
      <c r="I1577"/>
      <c r="J1577"/>
    </row>
    <row r="1578" spans="8:10" x14ac:dyDescent="0.3">
      <c r="H1578"/>
      <c r="I1578"/>
      <c r="J1578"/>
    </row>
    <row r="1579" spans="8:10" x14ac:dyDescent="0.3">
      <c r="H1579"/>
      <c r="I1579"/>
      <c r="J1579"/>
    </row>
    <row r="1580" spans="8:10" x14ac:dyDescent="0.3">
      <c r="H1580"/>
      <c r="I1580"/>
      <c r="J1580"/>
    </row>
    <row r="1581" spans="8:10" x14ac:dyDescent="0.3">
      <c r="H1581"/>
      <c r="I1581"/>
      <c r="J1581"/>
    </row>
    <row r="1582" spans="8:10" x14ac:dyDescent="0.3">
      <c r="H1582"/>
      <c r="I1582"/>
      <c r="J1582"/>
    </row>
    <row r="1583" spans="8:10" x14ac:dyDescent="0.3">
      <c r="H1583"/>
      <c r="I1583"/>
      <c r="J1583"/>
    </row>
    <row r="1584" spans="8:10" x14ac:dyDescent="0.3">
      <c r="H1584"/>
      <c r="I1584"/>
      <c r="J1584"/>
    </row>
    <row r="1585" spans="8:10" x14ac:dyDescent="0.3">
      <c r="H1585"/>
      <c r="I1585"/>
      <c r="J1585"/>
    </row>
    <row r="1586" spans="8:10" x14ac:dyDescent="0.3">
      <c r="H1586"/>
      <c r="I1586"/>
      <c r="J1586"/>
    </row>
    <row r="1587" spans="8:10" x14ac:dyDescent="0.3">
      <c r="H1587"/>
      <c r="I1587"/>
      <c r="J1587"/>
    </row>
    <row r="1588" spans="8:10" x14ac:dyDescent="0.3">
      <c r="H1588"/>
      <c r="I1588"/>
      <c r="J1588"/>
    </row>
    <row r="1589" spans="8:10" x14ac:dyDescent="0.3">
      <c r="H1589"/>
      <c r="I1589"/>
      <c r="J1589"/>
    </row>
    <row r="1590" spans="8:10" x14ac:dyDescent="0.3">
      <c r="H1590"/>
      <c r="I1590"/>
      <c r="J1590"/>
    </row>
    <row r="1591" spans="8:10" x14ac:dyDescent="0.3">
      <c r="H1591"/>
      <c r="I1591"/>
      <c r="J1591"/>
    </row>
    <row r="1592" spans="8:10" x14ac:dyDescent="0.3">
      <c r="H1592"/>
      <c r="I1592"/>
      <c r="J1592"/>
    </row>
    <row r="1593" spans="8:10" x14ac:dyDescent="0.3">
      <c r="H1593"/>
      <c r="I1593"/>
      <c r="J1593"/>
    </row>
    <row r="1594" spans="8:10" x14ac:dyDescent="0.3">
      <c r="H1594"/>
      <c r="I1594"/>
      <c r="J1594"/>
    </row>
    <row r="1595" spans="8:10" x14ac:dyDescent="0.3">
      <c r="H1595"/>
      <c r="I1595"/>
      <c r="J1595"/>
    </row>
    <row r="1596" spans="8:10" x14ac:dyDescent="0.3">
      <c r="H1596"/>
      <c r="I1596"/>
      <c r="J1596"/>
    </row>
    <row r="1597" spans="8:10" x14ac:dyDescent="0.3">
      <c r="H1597"/>
      <c r="I1597"/>
      <c r="J1597"/>
    </row>
    <row r="1598" spans="8:10" x14ac:dyDescent="0.3">
      <c r="H1598"/>
      <c r="I1598"/>
      <c r="J1598"/>
    </row>
    <row r="1599" spans="8:10" x14ac:dyDescent="0.3">
      <c r="H1599"/>
      <c r="I1599"/>
      <c r="J1599"/>
    </row>
    <row r="1600" spans="8:10" x14ac:dyDescent="0.3">
      <c r="H1600"/>
      <c r="I1600"/>
      <c r="J1600"/>
    </row>
    <row r="1601" spans="8:10" x14ac:dyDescent="0.3">
      <c r="H1601"/>
      <c r="I1601"/>
      <c r="J1601"/>
    </row>
    <row r="1602" spans="8:10" x14ac:dyDescent="0.3">
      <c r="H1602"/>
      <c r="I1602"/>
      <c r="J1602"/>
    </row>
    <row r="1603" spans="8:10" x14ac:dyDescent="0.3">
      <c r="H1603"/>
      <c r="I1603"/>
      <c r="J1603"/>
    </row>
    <row r="1604" spans="8:10" x14ac:dyDescent="0.3">
      <c r="H1604"/>
      <c r="I1604"/>
      <c r="J1604"/>
    </row>
    <row r="1605" spans="8:10" x14ac:dyDescent="0.3">
      <c r="H1605"/>
      <c r="I1605"/>
      <c r="J1605"/>
    </row>
    <row r="1606" spans="8:10" x14ac:dyDescent="0.3">
      <c r="H1606"/>
      <c r="I1606"/>
      <c r="J1606"/>
    </row>
    <row r="1607" spans="8:10" x14ac:dyDescent="0.3">
      <c r="H1607"/>
      <c r="I1607"/>
      <c r="J1607"/>
    </row>
    <row r="1608" spans="8:10" x14ac:dyDescent="0.3">
      <c r="H1608"/>
      <c r="I1608"/>
      <c r="J1608"/>
    </row>
    <row r="1609" spans="8:10" x14ac:dyDescent="0.3">
      <c r="H1609"/>
      <c r="I1609"/>
      <c r="J1609"/>
    </row>
    <row r="1610" spans="8:10" x14ac:dyDescent="0.3">
      <c r="H1610"/>
      <c r="I1610"/>
      <c r="J1610"/>
    </row>
    <row r="1611" spans="8:10" x14ac:dyDescent="0.3">
      <c r="H1611"/>
      <c r="I1611"/>
      <c r="J1611"/>
    </row>
    <row r="1612" spans="8:10" x14ac:dyDescent="0.3">
      <c r="H1612"/>
      <c r="I1612"/>
      <c r="J1612"/>
    </row>
    <row r="1613" spans="8:10" x14ac:dyDescent="0.3">
      <c r="H1613"/>
      <c r="I1613"/>
      <c r="J1613"/>
    </row>
    <row r="1614" spans="8:10" x14ac:dyDescent="0.3">
      <c r="H1614"/>
      <c r="I1614"/>
      <c r="J1614"/>
    </row>
    <row r="1615" spans="8:10" x14ac:dyDescent="0.3">
      <c r="H1615"/>
      <c r="I1615"/>
      <c r="J1615"/>
    </row>
    <row r="1616" spans="8:10" x14ac:dyDescent="0.3">
      <c r="H1616"/>
      <c r="I1616"/>
      <c r="J1616"/>
    </row>
    <row r="1617" spans="8:10" x14ac:dyDescent="0.3">
      <c r="H1617"/>
      <c r="I1617"/>
      <c r="J1617"/>
    </row>
    <row r="1618" spans="8:10" x14ac:dyDescent="0.3">
      <c r="H1618"/>
      <c r="I1618"/>
      <c r="J1618"/>
    </row>
    <row r="1619" spans="8:10" x14ac:dyDescent="0.3">
      <c r="H1619"/>
      <c r="I1619"/>
      <c r="J1619"/>
    </row>
    <row r="1620" spans="8:10" x14ac:dyDescent="0.3">
      <c r="H1620"/>
      <c r="I1620"/>
      <c r="J1620"/>
    </row>
    <row r="1621" spans="8:10" x14ac:dyDescent="0.3">
      <c r="H1621"/>
      <c r="I1621"/>
      <c r="J1621"/>
    </row>
    <row r="1622" spans="8:10" x14ac:dyDescent="0.3">
      <c r="H1622"/>
      <c r="I1622"/>
      <c r="J1622"/>
    </row>
    <row r="1623" spans="8:10" x14ac:dyDescent="0.3">
      <c r="H1623"/>
      <c r="I1623"/>
      <c r="J1623"/>
    </row>
    <row r="1624" spans="8:10" x14ac:dyDescent="0.3">
      <c r="H1624"/>
      <c r="I1624"/>
      <c r="J1624"/>
    </row>
    <row r="1625" spans="8:10" x14ac:dyDescent="0.3">
      <c r="H1625"/>
      <c r="I1625"/>
      <c r="J1625"/>
    </row>
    <row r="1626" spans="8:10" x14ac:dyDescent="0.3">
      <c r="H1626"/>
      <c r="I1626"/>
      <c r="J1626"/>
    </row>
    <row r="1627" spans="8:10" x14ac:dyDescent="0.3">
      <c r="H1627"/>
      <c r="I1627"/>
      <c r="J1627"/>
    </row>
    <row r="1628" spans="8:10" x14ac:dyDescent="0.3">
      <c r="H1628"/>
      <c r="I1628"/>
      <c r="J1628"/>
    </row>
    <row r="1629" spans="8:10" x14ac:dyDescent="0.3">
      <c r="H1629"/>
      <c r="I1629"/>
      <c r="J1629"/>
    </row>
    <row r="1630" spans="8:10" x14ac:dyDescent="0.3">
      <c r="H1630"/>
      <c r="I1630"/>
      <c r="J1630"/>
    </row>
    <row r="1631" spans="8:10" x14ac:dyDescent="0.3">
      <c r="H1631"/>
      <c r="I1631"/>
      <c r="J1631"/>
    </row>
    <row r="1632" spans="8:10" x14ac:dyDescent="0.3">
      <c r="H1632"/>
      <c r="I1632"/>
      <c r="J1632"/>
    </row>
    <row r="1633" spans="8:10" x14ac:dyDescent="0.3">
      <c r="H1633"/>
      <c r="I1633"/>
      <c r="J1633"/>
    </row>
    <row r="1634" spans="8:10" x14ac:dyDescent="0.3">
      <c r="H1634"/>
      <c r="I1634"/>
      <c r="J1634"/>
    </row>
    <row r="1635" spans="8:10" x14ac:dyDescent="0.3">
      <c r="H1635"/>
      <c r="I1635"/>
      <c r="J1635"/>
    </row>
    <row r="1636" spans="8:10" x14ac:dyDescent="0.3">
      <c r="H1636"/>
      <c r="I1636"/>
      <c r="J1636"/>
    </row>
    <row r="1637" spans="8:10" x14ac:dyDescent="0.3">
      <c r="H1637"/>
      <c r="I1637"/>
      <c r="J1637"/>
    </row>
    <row r="1638" spans="8:10" x14ac:dyDescent="0.3">
      <c r="H1638"/>
      <c r="I1638"/>
      <c r="J1638"/>
    </row>
    <row r="1639" spans="8:10" x14ac:dyDescent="0.3">
      <c r="H1639"/>
      <c r="I1639"/>
      <c r="J1639"/>
    </row>
    <row r="1640" spans="8:10" x14ac:dyDescent="0.3">
      <c r="H1640"/>
      <c r="I1640"/>
      <c r="J1640"/>
    </row>
    <row r="1641" spans="8:10" x14ac:dyDescent="0.3">
      <c r="H1641"/>
      <c r="I1641"/>
      <c r="J1641"/>
    </row>
    <row r="1642" spans="8:10" x14ac:dyDescent="0.3">
      <c r="H1642"/>
      <c r="I1642"/>
      <c r="J1642"/>
    </row>
    <row r="1643" spans="8:10" x14ac:dyDescent="0.3">
      <c r="H1643"/>
      <c r="I1643"/>
      <c r="J1643"/>
    </row>
    <row r="1644" spans="8:10" x14ac:dyDescent="0.3">
      <c r="H1644"/>
      <c r="I1644"/>
      <c r="J1644"/>
    </row>
    <row r="1645" spans="8:10" x14ac:dyDescent="0.3">
      <c r="H1645"/>
      <c r="I1645"/>
      <c r="J1645"/>
    </row>
    <row r="1646" spans="8:10" x14ac:dyDescent="0.3">
      <c r="H1646"/>
      <c r="I1646"/>
      <c r="J1646"/>
    </row>
    <row r="1647" spans="8:10" x14ac:dyDescent="0.3">
      <c r="H1647"/>
      <c r="I1647"/>
      <c r="J1647"/>
    </row>
    <row r="1648" spans="8:10" x14ac:dyDescent="0.3">
      <c r="H1648"/>
      <c r="I1648"/>
      <c r="J1648"/>
    </row>
    <row r="1649" spans="8:10" x14ac:dyDescent="0.3">
      <c r="H1649"/>
      <c r="I1649"/>
      <c r="J1649"/>
    </row>
    <row r="1650" spans="8:10" x14ac:dyDescent="0.3">
      <c r="H1650"/>
      <c r="I1650"/>
      <c r="J1650"/>
    </row>
    <row r="1651" spans="8:10" x14ac:dyDescent="0.3">
      <c r="H1651"/>
      <c r="I1651"/>
      <c r="J1651"/>
    </row>
    <row r="1652" spans="8:10" x14ac:dyDescent="0.3">
      <c r="H1652"/>
      <c r="I1652"/>
      <c r="J1652"/>
    </row>
    <row r="1653" spans="8:10" x14ac:dyDescent="0.3">
      <c r="H1653"/>
      <c r="I1653"/>
      <c r="J1653"/>
    </row>
    <row r="1654" spans="8:10" x14ac:dyDescent="0.3">
      <c r="H1654"/>
      <c r="I1654"/>
      <c r="J1654"/>
    </row>
    <row r="1655" spans="8:10" x14ac:dyDescent="0.3">
      <c r="H1655"/>
      <c r="I1655"/>
      <c r="J1655"/>
    </row>
    <row r="1656" spans="8:10" x14ac:dyDescent="0.3">
      <c r="H1656"/>
      <c r="I1656"/>
      <c r="J1656"/>
    </row>
    <row r="1657" spans="8:10" x14ac:dyDescent="0.3">
      <c r="H1657"/>
      <c r="I1657"/>
      <c r="J1657"/>
    </row>
    <row r="1658" spans="8:10" x14ac:dyDescent="0.3">
      <c r="H1658"/>
      <c r="I1658"/>
      <c r="J1658"/>
    </row>
    <row r="1659" spans="8:10" x14ac:dyDescent="0.3">
      <c r="H1659"/>
      <c r="I1659"/>
      <c r="J1659"/>
    </row>
    <row r="1660" spans="8:10" x14ac:dyDescent="0.3">
      <c r="H1660"/>
      <c r="I1660"/>
      <c r="J1660"/>
    </row>
    <row r="1661" spans="8:10" x14ac:dyDescent="0.3">
      <c r="H1661"/>
      <c r="I1661"/>
      <c r="J1661"/>
    </row>
    <row r="1662" spans="8:10" x14ac:dyDescent="0.3">
      <c r="H1662"/>
      <c r="I1662"/>
      <c r="J1662"/>
    </row>
    <row r="1663" spans="8:10" x14ac:dyDescent="0.3">
      <c r="H1663"/>
      <c r="I1663"/>
      <c r="J1663"/>
    </row>
    <row r="1664" spans="8:10" x14ac:dyDescent="0.3">
      <c r="H1664"/>
      <c r="I1664"/>
      <c r="J1664"/>
    </row>
    <row r="1665" spans="8:10" x14ac:dyDescent="0.3">
      <c r="H1665"/>
      <c r="I1665"/>
      <c r="J1665"/>
    </row>
    <row r="1666" spans="8:10" x14ac:dyDescent="0.3">
      <c r="H1666"/>
      <c r="I1666"/>
      <c r="J1666"/>
    </row>
    <row r="1667" spans="8:10" x14ac:dyDescent="0.3">
      <c r="H1667"/>
      <c r="I1667"/>
      <c r="J1667"/>
    </row>
    <row r="1668" spans="8:10" x14ac:dyDescent="0.3">
      <c r="H1668"/>
      <c r="I1668"/>
      <c r="J1668"/>
    </row>
    <row r="1669" spans="8:10" x14ac:dyDescent="0.3">
      <c r="H1669"/>
      <c r="I1669"/>
      <c r="J1669"/>
    </row>
    <row r="1670" spans="8:10" x14ac:dyDescent="0.3">
      <c r="H1670"/>
      <c r="I1670"/>
      <c r="J1670"/>
    </row>
    <row r="1671" spans="8:10" x14ac:dyDescent="0.3">
      <c r="H1671"/>
      <c r="I1671"/>
      <c r="J1671"/>
    </row>
    <row r="1672" spans="8:10" x14ac:dyDescent="0.3">
      <c r="H1672"/>
      <c r="I1672"/>
      <c r="J1672"/>
    </row>
    <row r="1673" spans="8:10" x14ac:dyDescent="0.3">
      <c r="H1673"/>
      <c r="I1673"/>
      <c r="J1673"/>
    </row>
    <row r="1674" spans="8:10" x14ac:dyDescent="0.3">
      <c r="H1674"/>
      <c r="I1674"/>
      <c r="J1674"/>
    </row>
    <row r="1675" spans="8:10" x14ac:dyDescent="0.3">
      <c r="H1675"/>
      <c r="I1675"/>
      <c r="J1675"/>
    </row>
    <row r="1676" spans="8:10" x14ac:dyDescent="0.3">
      <c r="H1676"/>
      <c r="I1676"/>
      <c r="J1676"/>
    </row>
    <row r="1677" spans="8:10" x14ac:dyDescent="0.3">
      <c r="H1677"/>
      <c r="I1677"/>
      <c r="J1677"/>
    </row>
    <row r="1678" spans="8:10" x14ac:dyDescent="0.3">
      <c r="H1678"/>
      <c r="I1678"/>
      <c r="J1678"/>
    </row>
    <row r="1679" spans="8:10" x14ac:dyDescent="0.3">
      <c r="H1679"/>
      <c r="I1679"/>
      <c r="J1679"/>
    </row>
    <row r="1680" spans="8:10" x14ac:dyDescent="0.3">
      <c r="H1680"/>
      <c r="I1680"/>
      <c r="J1680"/>
    </row>
    <row r="1681" spans="8:10" x14ac:dyDescent="0.3">
      <c r="H1681"/>
      <c r="I1681"/>
      <c r="J1681"/>
    </row>
    <row r="1682" spans="8:10" x14ac:dyDescent="0.3">
      <c r="H1682"/>
      <c r="I1682"/>
      <c r="J1682"/>
    </row>
    <row r="1683" spans="8:10" x14ac:dyDescent="0.3">
      <c r="H1683"/>
      <c r="I1683"/>
      <c r="J1683"/>
    </row>
    <row r="1684" spans="8:10" x14ac:dyDescent="0.3">
      <c r="H1684"/>
      <c r="I1684"/>
      <c r="J1684"/>
    </row>
    <row r="1685" spans="8:10" x14ac:dyDescent="0.3">
      <c r="H1685"/>
      <c r="I1685"/>
      <c r="J1685"/>
    </row>
    <row r="1686" spans="8:10" x14ac:dyDescent="0.3">
      <c r="H1686"/>
      <c r="I1686"/>
      <c r="J1686"/>
    </row>
    <row r="1687" spans="8:10" x14ac:dyDescent="0.3">
      <c r="H1687"/>
      <c r="I1687"/>
      <c r="J1687"/>
    </row>
    <row r="1688" spans="8:10" x14ac:dyDescent="0.3">
      <c r="H1688"/>
      <c r="I1688"/>
      <c r="J1688"/>
    </row>
    <row r="1689" spans="8:10" x14ac:dyDescent="0.3">
      <c r="H1689"/>
      <c r="I1689"/>
      <c r="J1689"/>
    </row>
    <row r="1690" spans="8:10" x14ac:dyDescent="0.3">
      <c r="H1690"/>
      <c r="I1690"/>
      <c r="J1690"/>
    </row>
    <row r="1691" spans="8:10" x14ac:dyDescent="0.3">
      <c r="H1691"/>
      <c r="I1691"/>
      <c r="J1691"/>
    </row>
    <row r="1692" spans="8:10" x14ac:dyDescent="0.3">
      <c r="H1692"/>
      <c r="I1692"/>
      <c r="J1692"/>
    </row>
    <row r="1693" spans="8:10" x14ac:dyDescent="0.3">
      <c r="H1693"/>
      <c r="I1693"/>
      <c r="J1693"/>
    </row>
    <row r="1694" spans="8:10" x14ac:dyDescent="0.3">
      <c r="H1694"/>
      <c r="I1694"/>
      <c r="J1694"/>
    </row>
    <row r="1695" spans="8:10" x14ac:dyDescent="0.3">
      <c r="H1695"/>
      <c r="I1695"/>
      <c r="J1695"/>
    </row>
    <row r="1696" spans="8:10" x14ac:dyDescent="0.3">
      <c r="H1696"/>
      <c r="I1696"/>
      <c r="J1696"/>
    </row>
    <row r="1697" spans="8:10" x14ac:dyDescent="0.3">
      <c r="H1697"/>
      <c r="I1697"/>
      <c r="J1697"/>
    </row>
    <row r="1698" spans="8:10" x14ac:dyDescent="0.3">
      <c r="H1698"/>
      <c r="I1698"/>
      <c r="J1698"/>
    </row>
    <row r="1699" spans="8:10" x14ac:dyDescent="0.3">
      <c r="H1699"/>
      <c r="I1699"/>
      <c r="J1699"/>
    </row>
    <row r="1700" spans="8:10" x14ac:dyDescent="0.3">
      <c r="H1700"/>
      <c r="I1700"/>
      <c r="J1700"/>
    </row>
    <row r="1701" spans="8:10" x14ac:dyDescent="0.3">
      <c r="H1701"/>
      <c r="I1701"/>
      <c r="J1701"/>
    </row>
    <row r="1702" spans="8:10" x14ac:dyDescent="0.3">
      <c r="H1702"/>
      <c r="I1702"/>
      <c r="J1702"/>
    </row>
    <row r="1703" spans="8:10" x14ac:dyDescent="0.3">
      <c r="H1703"/>
      <c r="I1703"/>
      <c r="J1703"/>
    </row>
    <row r="1704" spans="8:10" x14ac:dyDescent="0.3">
      <c r="H1704"/>
      <c r="I1704"/>
      <c r="J1704"/>
    </row>
    <row r="1705" spans="8:10" x14ac:dyDescent="0.3">
      <c r="H1705"/>
      <c r="I1705"/>
      <c r="J1705"/>
    </row>
    <row r="1706" spans="8:10" x14ac:dyDescent="0.3">
      <c r="H1706"/>
      <c r="I1706"/>
      <c r="J1706"/>
    </row>
    <row r="1707" spans="8:10" x14ac:dyDescent="0.3">
      <c r="H1707"/>
      <c r="I1707"/>
      <c r="J1707"/>
    </row>
    <row r="1708" spans="8:10" x14ac:dyDescent="0.3">
      <c r="H1708"/>
      <c r="I1708"/>
      <c r="J1708"/>
    </row>
    <row r="1709" spans="8:10" x14ac:dyDescent="0.3">
      <c r="H1709"/>
      <c r="I1709"/>
      <c r="J1709"/>
    </row>
    <row r="1710" spans="8:10" x14ac:dyDescent="0.3">
      <c r="H1710"/>
      <c r="I1710"/>
      <c r="J1710"/>
    </row>
    <row r="1711" spans="8:10" x14ac:dyDescent="0.3">
      <c r="H1711"/>
      <c r="I1711"/>
      <c r="J1711"/>
    </row>
    <row r="1712" spans="8:10" x14ac:dyDescent="0.3">
      <c r="H1712"/>
      <c r="I1712"/>
      <c r="J1712"/>
    </row>
    <row r="1713" spans="8:10" x14ac:dyDescent="0.3">
      <c r="H1713"/>
      <c r="I1713"/>
      <c r="J1713"/>
    </row>
    <row r="1714" spans="8:10" x14ac:dyDescent="0.3">
      <c r="H1714"/>
      <c r="I1714"/>
      <c r="J1714"/>
    </row>
    <row r="1715" spans="8:10" x14ac:dyDescent="0.3">
      <c r="H1715"/>
      <c r="I1715"/>
      <c r="J1715"/>
    </row>
    <row r="1716" spans="8:10" x14ac:dyDescent="0.3">
      <c r="H1716"/>
      <c r="I1716"/>
      <c r="J1716"/>
    </row>
    <row r="1717" spans="8:10" x14ac:dyDescent="0.3">
      <c r="H1717"/>
      <c r="I1717"/>
      <c r="J1717"/>
    </row>
    <row r="1718" spans="8:10" x14ac:dyDescent="0.3">
      <c r="H1718"/>
      <c r="I1718"/>
      <c r="J1718"/>
    </row>
    <row r="1719" spans="8:10" x14ac:dyDescent="0.3">
      <c r="H1719"/>
      <c r="I1719"/>
      <c r="J1719"/>
    </row>
    <row r="1720" spans="8:10" x14ac:dyDescent="0.3">
      <c r="H1720"/>
      <c r="I1720"/>
      <c r="J1720"/>
    </row>
    <row r="1721" spans="8:10" x14ac:dyDescent="0.3">
      <c r="H1721"/>
      <c r="I1721"/>
      <c r="J1721"/>
    </row>
    <row r="1722" spans="8:10" x14ac:dyDescent="0.3">
      <c r="H1722"/>
      <c r="I1722"/>
      <c r="J1722"/>
    </row>
    <row r="1723" spans="8:10" x14ac:dyDescent="0.3">
      <c r="H1723"/>
      <c r="I1723"/>
      <c r="J1723"/>
    </row>
    <row r="1724" spans="8:10" x14ac:dyDescent="0.3">
      <c r="H1724"/>
      <c r="I1724"/>
      <c r="J1724"/>
    </row>
    <row r="1725" spans="8:10" x14ac:dyDescent="0.3">
      <c r="H1725"/>
      <c r="I1725"/>
      <c r="J1725"/>
    </row>
    <row r="1726" spans="8:10" x14ac:dyDescent="0.3">
      <c r="H1726"/>
      <c r="I1726"/>
      <c r="J1726"/>
    </row>
    <row r="1727" spans="8:10" x14ac:dyDescent="0.3">
      <c r="H1727"/>
      <c r="I1727"/>
      <c r="J1727"/>
    </row>
    <row r="1728" spans="8:10" x14ac:dyDescent="0.3">
      <c r="H1728"/>
      <c r="I1728"/>
      <c r="J1728"/>
    </row>
    <row r="1729" spans="8:10" x14ac:dyDescent="0.3">
      <c r="H1729"/>
      <c r="I1729"/>
      <c r="J1729"/>
    </row>
    <row r="1730" spans="8:10" x14ac:dyDescent="0.3">
      <c r="H1730"/>
      <c r="I1730"/>
      <c r="J1730"/>
    </row>
    <row r="1731" spans="8:10" x14ac:dyDescent="0.3">
      <c r="H1731"/>
      <c r="I1731"/>
      <c r="J1731"/>
    </row>
    <row r="1732" spans="8:10" x14ac:dyDescent="0.3">
      <c r="H1732"/>
      <c r="I1732"/>
      <c r="J1732"/>
    </row>
    <row r="1733" spans="8:10" x14ac:dyDescent="0.3">
      <c r="H1733"/>
      <c r="I1733"/>
      <c r="J1733"/>
    </row>
    <row r="1734" spans="8:10" x14ac:dyDescent="0.3">
      <c r="H1734"/>
      <c r="I1734"/>
      <c r="J1734"/>
    </row>
    <row r="1735" spans="8:10" x14ac:dyDescent="0.3">
      <c r="H1735"/>
      <c r="I1735"/>
      <c r="J1735"/>
    </row>
    <row r="1736" spans="8:10" x14ac:dyDescent="0.3">
      <c r="H1736"/>
      <c r="I1736"/>
      <c r="J1736"/>
    </row>
    <row r="1737" spans="8:10" x14ac:dyDescent="0.3">
      <c r="H1737"/>
      <c r="I1737"/>
      <c r="J1737"/>
    </row>
    <row r="1738" spans="8:10" x14ac:dyDescent="0.3">
      <c r="H1738"/>
      <c r="I1738"/>
      <c r="J1738"/>
    </row>
    <row r="1739" spans="8:10" x14ac:dyDescent="0.3">
      <c r="H1739"/>
      <c r="I1739"/>
      <c r="J1739"/>
    </row>
    <row r="1740" spans="8:10" x14ac:dyDescent="0.3">
      <c r="H1740"/>
      <c r="I1740"/>
      <c r="J1740"/>
    </row>
    <row r="1741" spans="8:10" x14ac:dyDescent="0.3">
      <c r="H1741"/>
      <c r="I1741"/>
      <c r="J1741"/>
    </row>
    <row r="1742" spans="8:10" x14ac:dyDescent="0.3">
      <c r="H1742"/>
      <c r="I1742"/>
      <c r="J1742"/>
    </row>
    <row r="1743" spans="8:10" x14ac:dyDescent="0.3">
      <c r="H1743"/>
      <c r="I1743"/>
      <c r="J1743"/>
    </row>
    <row r="1744" spans="8:10" x14ac:dyDescent="0.3">
      <c r="H1744"/>
      <c r="I1744"/>
      <c r="J1744"/>
    </row>
    <row r="1745" spans="8:10" x14ac:dyDescent="0.3">
      <c r="H1745"/>
      <c r="I1745"/>
      <c r="J1745"/>
    </row>
    <row r="1746" spans="8:10" x14ac:dyDescent="0.3">
      <c r="H1746"/>
      <c r="I1746"/>
      <c r="J1746"/>
    </row>
    <row r="1747" spans="8:10" x14ac:dyDescent="0.3">
      <c r="H1747"/>
      <c r="I1747"/>
      <c r="J1747"/>
    </row>
    <row r="1748" spans="8:10" x14ac:dyDescent="0.3">
      <c r="H1748"/>
      <c r="I1748"/>
      <c r="J1748"/>
    </row>
    <row r="1749" spans="8:10" x14ac:dyDescent="0.3">
      <c r="H1749"/>
      <c r="I1749"/>
      <c r="J1749"/>
    </row>
    <row r="1750" spans="8:10" x14ac:dyDescent="0.3">
      <c r="H1750"/>
      <c r="I1750"/>
      <c r="J1750"/>
    </row>
    <row r="1751" spans="8:10" x14ac:dyDescent="0.3">
      <c r="H1751"/>
      <c r="I1751"/>
      <c r="J1751"/>
    </row>
    <row r="1752" spans="8:10" x14ac:dyDescent="0.3">
      <c r="H1752"/>
      <c r="I1752"/>
      <c r="J1752"/>
    </row>
    <row r="1753" spans="8:10" x14ac:dyDescent="0.3">
      <c r="H1753"/>
      <c r="I1753"/>
      <c r="J1753"/>
    </row>
    <row r="1754" spans="8:10" x14ac:dyDescent="0.3">
      <c r="H1754"/>
      <c r="I1754"/>
      <c r="J1754"/>
    </row>
    <row r="1755" spans="8:10" x14ac:dyDescent="0.3">
      <c r="H1755"/>
      <c r="I1755"/>
      <c r="J1755"/>
    </row>
    <row r="1756" spans="8:10" x14ac:dyDescent="0.3">
      <c r="H1756"/>
      <c r="I1756"/>
      <c r="J1756"/>
    </row>
    <row r="1757" spans="8:10" x14ac:dyDescent="0.3">
      <c r="H1757"/>
      <c r="I1757"/>
      <c r="J1757"/>
    </row>
    <row r="1758" spans="8:10" x14ac:dyDescent="0.3">
      <c r="H1758"/>
      <c r="I1758"/>
      <c r="J1758"/>
    </row>
    <row r="1759" spans="8:10" x14ac:dyDescent="0.3">
      <c r="H1759"/>
      <c r="I1759"/>
      <c r="J1759"/>
    </row>
    <row r="1760" spans="8:10" x14ac:dyDescent="0.3">
      <c r="H1760"/>
      <c r="I1760"/>
      <c r="J1760"/>
    </row>
    <row r="1761" spans="8:10" x14ac:dyDescent="0.3">
      <c r="H1761"/>
      <c r="I1761"/>
      <c r="J1761"/>
    </row>
    <row r="1762" spans="8:10" x14ac:dyDescent="0.3">
      <c r="H1762"/>
      <c r="I1762"/>
      <c r="J1762"/>
    </row>
    <row r="1763" spans="8:10" x14ac:dyDescent="0.3">
      <c r="H1763"/>
      <c r="I1763"/>
      <c r="J1763"/>
    </row>
    <row r="1764" spans="8:10" x14ac:dyDescent="0.3">
      <c r="H1764"/>
      <c r="I1764"/>
      <c r="J1764"/>
    </row>
    <row r="1765" spans="8:10" x14ac:dyDescent="0.3">
      <c r="H1765"/>
      <c r="I1765"/>
      <c r="J1765"/>
    </row>
    <row r="1766" spans="8:10" x14ac:dyDescent="0.3">
      <c r="H1766"/>
      <c r="I1766"/>
      <c r="J1766"/>
    </row>
    <row r="1767" spans="8:10" x14ac:dyDescent="0.3">
      <c r="H1767"/>
      <c r="I1767"/>
      <c r="J1767"/>
    </row>
    <row r="1768" spans="8:10" x14ac:dyDescent="0.3">
      <c r="H1768"/>
      <c r="I1768"/>
      <c r="J1768"/>
    </row>
    <row r="1769" spans="8:10" x14ac:dyDescent="0.3">
      <c r="H1769"/>
      <c r="I1769"/>
      <c r="J1769"/>
    </row>
    <row r="1770" spans="8:10" x14ac:dyDescent="0.3">
      <c r="H1770"/>
      <c r="I1770"/>
      <c r="J1770"/>
    </row>
    <row r="1771" spans="8:10" x14ac:dyDescent="0.3">
      <c r="H1771"/>
      <c r="I1771"/>
      <c r="J1771"/>
    </row>
    <row r="1772" spans="8:10" x14ac:dyDescent="0.3">
      <c r="H1772"/>
      <c r="I1772"/>
      <c r="J1772"/>
    </row>
    <row r="1773" spans="8:10" x14ac:dyDescent="0.3">
      <c r="H1773"/>
      <c r="I1773"/>
      <c r="J1773"/>
    </row>
    <row r="1774" spans="8:10" x14ac:dyDescent="0.3">
      <c r="H1774"/>
      <c r="I1774"/>
      <c r="J1774"/>
    </row>
    <row r="1775" spans="8:10" x14ac:dyDescent="0.3">
      <c r="H1775"/>
      <c r="I1775"/>
      <c r="J1775"/>
    </row>
    <row r="1776" spans="8:10" x14ac:dyDescent="0.3">
      <c r="H1776"/>
      <c r="I1776"/>
      <c r="J1776"/>
    </row>
    <row r="1777" spans="8:10" x14ac:dyDescent="0.3">
      <c r="H1777"/>
      <c r="I1777"/>
      <c r="J1777"/>
    </row>
    <row r="1778" spans="8:10" x14ac:dyDescent="0.3">
      <c r="H1778"/>
      <c r="I1778"/>
      <c r="J1778"/>
    </row>
    <row r="1779" spans="8:10" x14ac:dyDescent="0.3">
      <c r="H1779"/>
      <c r="I1779"/>
      <c r="J1779"/>
    </row>
    <row r="1780" spans="8:10" x14ac:dyDescent="0.3">
      <c r="H1780"/>
      <c r="I1780"/>
      <c r="J1780"/>
    </row>
    <row r="1781" spans="8:10" x14ac:dyDescent="0.3">
      <c r="H1781"/>
      <c r="I1781"/>
      <c r="J1781"/>
    </row>
    <row r="1782" spans="8:10" x14ac:dyDescent="0.3">
      <c r="H1782"/>
      <c r="I1782"/>
      <c r="J1782"/>
    </row>
    <row r="1783" spans="8:10" x14ac:dyDescent="0.3">
      <c r="H1783"/>
      <c r="I1783"/>
      <c r="J1783"/>
    </row>
    <row r="1784" spans="8:10" x14ac:dyDescent="0.3">
      <c r="H1784"/>
      <c r="I1784"/>
      <c r="J1784"/>
    </row>
    <row r="1785" spans="8:10" x14ac:dyDescent="0.3">
      <c r="H1785"/>
      <c r="I1785"/>
      <c r="J1785"/>
    </row>
    <row r="1786" spans="8:10" x14ac:dyDescent="0.3">
      <c r="H1786"/>
      <c r="I1786"/>
      <c r="J1786"/>
    </row>
    <row r="1787" spans="8:10" x14ac:dyDescent="0.3">
      <c r="H1787"/>
      <c r="I1787"/>
      <c r="J1787"/>
    </row>
    <row r="1788" spans="8:10" x14ac:dyDescent="0.3">
      <c r="H1788"/>
      <c r="I1788"/>
      <c r="J1788"/>
    </row>
    <row r="1789" spans="8:10" x14ac:dyDescent="0.3">
      <c r="H1789"/>
      <c r="I1789"/>
      <c r="J1789"/>
    </row>
    <row r="1790" spans="8:10" x14ac:dyDescent="0.3">
      <c r="H1790"/>
      <c r="I1790"/>
      <c r="J1790"/>
    </row>
    <row r="1791" spans="8:10" x14ac:dyDescent="0.3">
      <c r="H1791"/>
      <c r="I1791"/>
      <c r="J1791"/>
    </row>
    <row r="1792" spans="8:10" x14ac:dyDescent="0.3">
      <c r="H1792"/>
      <c r="I1792"/>
      <c r="J1792"/>
    </row>
    <row r="1793" spans="8:10" x14ac:dyDescent="0.3">
      <c r="H1793"/>
      <c r="I1793"/>
      <c r="J1793"/>
    </row>
    <row r="1794" spans="8:10" x14ac:dyDescent="0.3">
      <c r="H1794"/>
      <c r="I1794"/>
      <c r="J1794"/>
    </row>
    <row r="1795" spans="8:10" x14ac:dyDescent="0.3">
      <c r="H1795"/>
      <c r="I1795"/>
      <c r="J1795"/>
    </row>
    <row r="1796" spans="8:10" x14ac:dyDescent="0.3">
      <c r="H1796"/>
      <c r="I1796"/>
      <c r="J1796"/>
    </row>
    <row r="1797" spans="8:10" x14ac:dyDescent="0.3">
      <c r="H1797"/>
      <c r="I1797"/>
      <c r="J1797"/>
    </row>
    <row r="1798" spans="8:10" x14ac:dyDescent="0.3">
      <c r="H1798"/>
      <c r="I1798"/>
      <c r="J1798"/>
    </row>
    <row r="1799" spans="8:10" x14ac:dyDescent="0.3">
      <c r="H1799"/>
      <c r="I1799"/>
      <c r="J1799"/>
    </row>
    <row r="1800" spans="8:10" x14ac:dyDescent="0.3">
      <c r="H1800"/>
      <c r="I1800"/>
      <c r="J1800"/>
    </row>
    <row r="1801" spans="8:10" x14ac:dyDescent="0.3">
      <c r="H1801"/>
      <c r="I1801"/>
      <c r="J1801"/>
    </row>
    <row r="1802" spans="8:10" x14ac:dyDescent="0.3">
      <c r="H1802"/>
      <c r="I1802"/>
      <c r="J1802"/>
    </row>
    <row r="1803" spans="8:10" x14ac:dyDescent="0.3">
      <c r="H1803"/>
      <c r="I1803"/>
      <c r="J1803"/>
    </row>
    <row r="1804" spans="8:10" x14ac:dyDescent="0.3">
      <c r="H1804"/>
      <c r="I1804"/>
      <c r="J1804"/>
    </row>
    <row r="1805" spans="8:10" x14ac:dyDescent="0.3">
      <c r="H1805"/>
      <c r="I1805"/>
      <c r="J1805"/>
    </row>
    <row r="1806" spans="8:10" x14ac:dyDescent="0.3">
      <c r="H1806"/>
      <c r="I1806"/>
      <c r="J1806"/>
    </row>
    <row r="1807" spans="8:10" x14ac:dyDescent="0.3">
      <c r="H1807"/>
      <c r="I1807"/>
      <c r="J1807"/>
    </row>
    <row r="1808" spans="8:10" x14ac:dyDescent="0.3">
      <c r="H1808"/>
      <c r="I1808"/>
      <c r="J1808"/>
    </row>
    <row r="1809" spans="8:10" x14ac:dyDescent="0.3">
      <c r="H1809"/>
      <c r="I1809"/>
      <c r="J1809"/>
    </row>
    <row r="1810" spans="8:10" x14ac:dyDescent="0.3">
      <c r="H1810"/>
      <c r="I1810"/>
      <c r="J1810"/>
    </row>
    <row r="1811" spans="8:10" x14ac:dyDescent="0.3">
      <c r="H1811"/>
      <c r="I1811"/>
      <c r="J1811"/>
    </row>
    <row r="1812" spans="8:10" x14ac:dyDescent="0.3">
      <c r="H1812"/>
      <c r="I1812"/>
      <c r="J1812"/>
    </row>
    <row r="1813" spans="8:10" x14ac:dyDescent="0.3">
      <c r="H1813"/>
      <c r="I1813"/>
      <c r="J1813"/>
    </row>
    <row r="1814" spans="8:10" x14ac:dyDescent="0.3">
      <c r="H1814"/>
      <c r="I1814"/>
      <c r="J1814"/>
    </row>
    <row r="1815" spans="8:10" x14ac:dyDescent="0.3">
      <c r="H1815"/>
      <c r="I1815"/>
      <c r="J1815"/>
    </row>
    <row r="1816" spans="8:10" x14ac:dyDescent="0.3">
      <c r="H1816"/>
      <c r="I1816"/>
      <c r="J1816"/>
    </row>
    <row r="1817" spans="8:10" x14ac:dyDescent="0.3">
      <c r="H1817"/>
      <c r="I1817"/>
      <c r="J1817"/>
    </row>
    <row r="1818" spans="8:10" x14ac:dyDescent="0.3">
      <c r="H1818"/>
      <c r="I1818"/>
      <c r="J1818"/>
    </row>
    <row r="1819" spans="8:10" x14ac:dyDescent="0.3">
      <c r="H1819"/>
      <c r="I1819"/>
      <c r="J1819"/>
    </row>
    <row r="1820" spans="8:10" x14ac:dyDescent="0.3">
      <c r="H1820"/>
      <c r="I1820"/>
      <c r="J1820"/>
    </row>
    <row r="1821" spans="8:10" x14ac:dyDescent="0.3">
      <c r="H1821"/>
      <c r="I1821"/>
      <c r="J1821"/>
    </row>
    <row r="1822" spans="8:10" x14ac:dyDescent="0.3">
      <c r="H1822"/>
      <c r="I1822"/>
      <c r="J1822"/>
    </row>
    <row r="1823" spans="8:10" x14ac:dyDescent="0.3">
      <c r="H1823"/>
      <c r="I1823"/>
      <c r="J1823"/>
    </row>
    <row r="1824" spans="8:10" x14ac:dyDescent="0.3">
      <c r="H1824"/>
      <c r="I1824"/>
      <c r="J1824"/>
    </row>
    <row r="1825" spans="8:10" x14ac:dyDescent="0.3">
      <c r="H1825"/>
      <c r="I1825"/>
      <c r="J1825"/>
    </row>
    <row r="1826" spans="8:10" x14ac:dyDescent="0.3">
      <c r="H1826"/>
      <c r="I1826"/>
      <c r="J1826"/>
    </row>
    <row r="1827" spans="8:10" x14ac:dyDescent="0.3">
      <c r="H1827"/>
      <c r="I1827"/>
      <c r="J1827"/>
    </row>
    <row r="1828" spans="8:10" x14ac:dyDescent="0.3">
      <c r="H1828"/>
      <c r="I1828"/>
      <c r="J1828"/>
    </row>
    <row r="1829" spans="8:10" x14ac:dyDescent="0.3">
      <c r="H1829"/>
      <c r="I1829"/>
      <c r="J1829"/>
    </row>
    <row r="1830" spans="8:10" x14ac:dyDescent="0.3">
      <c r="H1830"/>
      <c r="I1830"/>
      <c r="J1830"/>
    </row>
    <row r="1831" spans="8:10" x14ac:dyDescent="0.3">
      <c r="H1831"/>
      <c r="I1831"/>
      <c r="J1831"/>
    </row>
    <row r="1832" spans="8:10" x14ac:dyDescent="0.3">
      <c r="H1832"/>
      <c r="I1832"/>
      <c r="J1832"/>
    </row>
    <row r="1833" spans="8:10" x14ac:dyDescent="0.3">
      <c r="H1833"/>
      <c r="I1833"/>
      <c r="J1833"/>
    </row>
    <row r="1834" spans="8:10" x14ac:dyDescent="0.3">
      <c r="H1834"/>
      <c r="I1834"/>
      <c r="J1834"/>
    </row>
    <row r="1835" spans="8:10" x14ac:dyDescent="0.3">
      <c r="H1835"/>
      <c r="I1835"/>
      <c r="J1835"/>
    </row>
    <row r="1836" spans="8:10" x14ac:dyDescent="0.3">
      <c r="H1836"/>
      <c r="I1836"/>
      <c r="J1836"/>
    </row>
    <row r="1837" spans="8:10" x14ac:dyDescent="0.3">
      <c r="H1837"/>
      <c r="I1837"/>
      <c r="J1837"/>
    </row>
    <row r="1838" spans="8:10" x14ac:dyDescent="0.3">
      <c r="H1838"/>
      <c r="I1838"/>
      <c r="J1838"/>
    </row>
    <row r="1839" spans="8:10" x14ac:dyDescent="0.3">
      <c r="H1839"/>
      <c r="I1839"/>
      <c r="J1839"/>
    </row>
    <row r="1840" spans="8:10" x14ac:dyDescent="0.3">
      <c r="H1840"/>
      <c r="I1840"/>
      <c r="J1840"/>
    </row>
    <row r="1841" spans="8:10" x14ac:dyDescent="0.3">
      <c r="H1841"/>
      <c r="I1841"/>
      <c r="J1841"/>
    </row>
    <row r="1842" spans="8:10" x14ac:dyDescent="0.3">
      <c r="H1842"/>
      <c r="I1842"/>
      <c r="J1842"/>
    </row>
    <row r="1843" spans="8:10" x14ac:dyDescent="0.3">
      <c r="H1843"/>
      <c r="I1843"/>
      <c r="J1843"/>
    </row>
    <row r="1844" spans="8:10" x14ac:dyDescent="0.3">
      <c r="H1844"/>
      <c r="I1844"/>
      <c r="J1844"/>
    </row>
    <row r="1845" spans="8:10" x14ac:dyDescent="0.3">
      <c r="H1845"/>
      <c r="I1845"/>
      <c r="J1845"/>
    </row>
    <row r="1846" spans="8:10" x14ac:dyDescent="0.3">
      <c r="H1846"/>
      <c r="I1846"/>
      <c r="J1846"/>
    </row>
    <row r="1847" spans="8:10" x14ac:dyDescent="0.3">
      <c r="H1847"/>
      <c r="I1847"/>
      <c r="J1847"/>
    </row>
    <row r="1848" spans="8:10" x14ac:dyDescent="0.3">
      <c r="H1848"/>
      <c r="I1848"/>
      <c r="J1848"/>
    </row>
    <row r="1849" spans="8:10" x14ac:dyDescent="0.3">
      <c r="H1849"/>
      <c r="I1849"/>
      <c r="J1849"/>
    </row>
    <row r="1850" spans="8:10" x14ac:dyDescent="0.3">
      <c r="H1850"/>
      <c r="I1850"/>
      <c r="J1850"/>
    </row>
    <row r="1851" spans="8:10" x14ac:dyDescent="0.3">
      <c r="H1851"/>
      <c r="I1851"/>
      <c r="J1851"/>
    </row>
    <row r="1852" spans="8:10" x14ac:dyDescent="0.3">
      <c r="H1852"/>
      <c r="I1852"/>
      <c r="J1852"/>
    </row>
    <row r="1853" spans="8:10" x14ac:dyDescent="0.3">
      <c r="H1853"/>
      <c r="I1853"/>
      <c r="J1853"/>
    </row>
    <row r="1854" spans="8:10" x14ac:dyDescent="0.3">
      <c r="H1854"/>
      <c r="I1854"/>
      <c r="J1854"/>
    </row>
    <row r="1855" spans="8:10" x14ac:dyDescent="0.3">
      <c r="H1855"/>
      <c r="I1855"/>
      <c r="J1855"/>
    </row>
    <row r="1856" spans="8:10" x14ac:dyDescent="0.3">
      <c r="H1856"/>
      <c r="I1856"/>
      <c r="J1856"/>
    </row>
    <row r="1857" spans="8:10" x14ac:dyDescent="0.3">
      <c r="H1857"/>
      <c r="I1857"/>
      <c r="J1857"/>
    </row>
    <row r="1858" spans="8:10" x14ac:dyDescent="0.3">
      <c r="H1858"/>
      <c r="I1858"/>
      <c r="J1858"/>
    </row>
    <row r="1859" spans="8:10" x14ac:dyDescent="0.3">
      <c r="H1859"/>
      <c r="I1859"/>
      <c r="J1859"/>
    </row>
    <row r="1860" spans="8:10" x14ac:dyDescent="0.3">
      <c r="H1860"/>
      <c r="I1860"/>
      <c r="J1860"/>
    </row>
    <row r="1861" spans="8:10" x14ac:dyDescent="0.3">
      <c r="H1861"/>
      <c r="I1861"/>
      <c r="J1861"/>
    </row>
    <row r="1862" spans="8:10" x14ac:dyDescent="0.3">
      <c r="H1862"/>
      <c r="I1862"/>
      <c r="J1862"/>
    </row>
    <row r="1863" spans="8:10" x14ac:dyDescent="0.3">
      <c r="H1863"/>
      <c r="I1863"/>
      <c r="J1863"/>
    </row>
    <row r="1864" spans="8:10" x14ac:dyDescent="0.3">
      <c r="H1864"/>
      <c r="I1864"/>
      <c r="J1864"/>
    </row>
    <row r="1865" spans="8:10" x14ac:dyDescent="0.3">
      <c r="H1865"/>
      <c r="I1865"/>
      <c r="J1865"/>
    </row>
    <row r="1866" spans="8:10" x14ac:dyDescent="0.3">
      <c r="H1866"/>
      <c r="I1866"/>
      <c r="J1866"/>
    </row>
    <row r="1867" spans="8:10" x14ac:dyDescent="0.3">
      <c r="H1867"/>
      <c r="I1867"/>
      <c r="J1867"/>
    </row>
    <row r="1868" spans="8:10" x14ac:dyDescent="0.3">
      <c r="H1868"/>
      <c r="I1868"/>
      <c r="J1868"/>
    </row>
    <row r="1869" spans="8:10" x14ac:dyDescent="0.3">
      <c r="H1869"/>
      <c r="I1869"/>
      <c r="J1869"/>
    </row>
    <row r="1870" spans="8:10" x14ac:dyDescent="0.3">
      <c r="H1870"/>
      <c r="I1870"/>
      <c r="J1870"/>
    </row>
    <row r="1871" spans="8:10" x14ac:dyDescent="0.3">
      <c r="H1871"/>
      <c r="I1871"/>
      <c r="J1871"/>
    </row>
    <row r="1872" spans="8:10" x14ac:dyDescent="0.3">
      <c r="H1872"/>
      <c r="I1872"/>
      <c r="J1872"/>
    </row>
    <row r="1873" spans="8:10" x14ac:dyDescent="0.3">
      <c r="H1873"/>
      <c r="I1873"/>
      <c r="J1873"/>
    </row>
    <row r="1874" spans="8:10" x14ac:dyDescent="0.3">
      <c r="H1874"/>
      <c r="I1874"/>
      <c r="J1874"/>
    </row>
    <row r="1875" spans="8:10" x14ac:dyDescent="0.3">
      <c r="H1875"/>
      <c r="I1875"/>
      <c r="J1875"/>
    </row>
    <row r="1876" spans="8:10" x14ac:dyDescent="0.3">
      <c r="H1876"/>
      <c r="I1876"/>
      <c r="J1876"/>
    </row>
    <row r="1877" spans="8:10" x14ac:dyDescent="0.3">
      <c r="H1877"/>
      <c r="I1877"/>
      <c r="J1877"/>
    </row>
    <row r="1878" spans="8:10" x14ac:dyDescent="0.3">
      <c r="H1878"/>
      <c r="I1878"/>
      <c r="J1878"/>
    </row>
    <row r="1879" spans="8:10" x14ac:dyDescent="0.3">
      <c r="H1879"/>
      <c r="I1879"/>
      <c r="J1879"/>
    </row>
    <row r="1880" spans="8:10" x14ac:dyDescent="0.3">
      <c r="H1880"/>
      <c r="I1880"/>
      <c r="J1880"/>
    </row>
    <row r="1881" spans="8:10" x14ac:dyDescent="0.3">
      <c r="H1881"/>
      <c r="I1881"/>
      <c r="J1881"/>
    </row>
    <row r="1882" spans="8:10" x14ac:dyDescent="0.3">
      <c r="H1882"/>
      <c r="I1882"/>
      <c r="J1882"/>
    </row>
    <row r="1883" spans="8:10" x14ac:dyDescent="0.3">
      <c r="H1883"/>
      <c r="I1883"/>
      <c r="J1883"/>
    </row>
    <row r="1884" spans="8:10" x14ac:dyDescent="0.3">
      <c r="H1884"/>
      <c r="I1884"/>
      <c r="J1884"/>
    </row>
    <row r="1885" spans="8:10" x14ac:dyDescent="0.3">
      <c r="H1885"/>
      <c r="I1885"/>
      <c r="J1885"/>
    </row>
    <row r="1886" spans="8:10" x14ac:dyDescent="0.3">
      <c r="H1886"/>
      <c r="I1886"/>
      <c r="J1886"/>
    </row>
    <row r="1887" spans="8:10" x14ac:dyDescent="0.3">
      <c r="H1887"/>
      <c r="I1887"/>
      <c r="J1887"/>
    </row>
    <row r="1888" spans="8:10" x14ac:dyDescent="0.3">
      <c r="H1888"/>
      <c r="I1888"/>
      <c r="J1888"/>
    </row>
    <row r="1889" spans="8:10" x14ac:dyDescent="0.3">
      <c r="H1889"/>
      <c r="I1889"/>
      <c r="J1889"/>
    </row>
    <row r="1890" spans="8:10" x14ac:dyDescent="0.3">
      <c r="H1890"/>
      <c r="I1890"/>
      <c r="J1890"/>
    </row>
    <row r="1891" spans="8:10" x14ac:dyDescent="0.3">
      <c r="H1891"/>
      <c r="I1891"/>
      <c r="J1891"/>
    </row>
    <row r="1892" spans="8:10" x14ac:dyDescent="0.3">
      <c r="H1892"/>
      <c r="I1892"/>
      <c r="J1892"/>
    </row>
    <row r="1893" spans="8:10" x14ac:dyDescent="0.3">
      <c r="H1893"/>
      <c r="I1893"/>
      <c r="J1893"/>
    </row>
    <row r="1894" spans="8:10" x14ac:dyDescent="0.3">
      <c r="H1894"/>
      <c r="I1894"/>
      <c r="J1894"/>
    </row>
    <row r="1895" spans="8:10" x14ac:dyDescent="0.3">
      <c r="H1895"/>
      <c r="I1895"/>
      <c r="J1895"/>
    </row>
    <row r="1896" spans="8:10" x14ac:dyDescent="0.3">
      <c r="H1896"/>
      <c r="I1896"/>
      <c r="J1896"/>
    </row>
    <row r="1897" spans="8:10" x14ac:dyDescent="0.3">
      <c r="H1897"/>
      <c r="I1897"/>
      <c r="J1897"/>
    </row>
    <row r="1898" spans="8:10" x14ac:dyDescent="0.3">
      <c r="H1898"/>
      <c r="I1898"/>
      <c r="J1898"/>
    </row>
    <row r="1899" spans="8:10" x14ac:dyDescent="0.3">
      <c r="H1899"/>
      <c r="I1899"/>
      <c r="J1899"/>
    </row>
    <row r="1900" spans="8:10" x14ac:dyDescent="0.3">
      <c r="H1900"/>
      <c r="I1900"/>
      <c r="J1900"/>
    </row>
    <row r="1901" spans="8:10" x14ac:dyDescent="0.3">
      <c r="H1901"/>
      <c r="I1901"/>
      <c r="J1901"/>
    </row>
    <row r="1902" spans="8:10" x14ac:dyDescent="0.3">
      <c r="H1902"/>
      <c r="I1902"/>
      <c r="J1902"/>
    </row>
    <row r="1903" spans="8:10" x14ac:dyDescent="0.3">
      <c r="H1903"/>
      <c r="I1903"/>
      <c r="J1903"/>
    </row>
    <row r="1904" spans="8:10" x14ac:dyDescent="0.3">
      <c r="H1904"/>
      <c r="I1904"/>
      <c r="J1904"/>
    </row>
    <row r="1905" spans="8:10" x14ac:dyDescent="0.3">
      <c r="H1905"/>
      <c r="I1905"/>
      <c r="J1905"/>
    </row>
    <row r="1906" spans="8:10" x14ac:dyDescent="0.3">
      <c r="H1906"/>
      <c r="I1906"/>
      <c r="J1906"/>
    </row>
    <row r="1907" spans="8:10" x14ac:dyDescent="0.3">
      <c r="H1907"/>
      <c r="I1907"/>
      <c r="J1907"/>
    </row>
    <row r="1908" spans="8:10" x14ac:dyDescent="0.3">
      <c r="H1908"/>
      <c r="I1908"/>
      <c r="J1908"/>
    </row>
    <row r="1909" spans="8:10" x14ac:dyDescent="0.3">
      <c r="H1909"/>
      <c r="I1909"/>
      <c r="J1909"/>
    </row>
    <row r="1910" spans="8:10" x14ac:dyDescent="0.3">
      <c r="H1910"/>
      <c r="I1910"/>
      <c r="J1910"/>
    </row>
    <row r="1911" spans="8:10" x14ac:dyDescent="0.3">
      <c r="H1911"/>
      <c r="I1911"/>
      <c r="J1911"/>
    </row>
    <row r="1912" spans="8:10" x14ac:dyDescent="0.3">
      <c r="H1912"/>
      <c r="I1912"/>
      <c r="J1912"/>
    </row>
    <row r="1913" spans="8:10" x14ac:dyDescent="0.3">
      <c r="H1913"/>
      <c r="I1913"/>
      <c r="J1913"/>
    </row>
    <row r="1914" spans="8:10" x14ac:dyDescent="0.3">
      <c r="H1914"/>
      <c r="I1914"/>
      <c r="J1914"/>
    </row>
    <row r="1915" spans="8:10" x14ac:dyDescent="0.3">
      <c r="H1915"/>
      <c r="I1915"/>
      <c r="J1915"/>
    </row>
    <row r="1916" spans="8:10" x14ac:dyDescent="0.3">
      <c r="H1916"/>
      <c r="I1916"/>
      <c r="J1916"/>
    </row>
    <row r="1917" spans="8:10" x14ac:dyDescent="0.3">
      <c r="H1917"/>
      <c r="I1917"/>
      <c r="J1917"/>
    </row>
    <row r="1918" spans="8:10" x14ac:dyDescent="0.3">
      <c r="H1918"/>
      <c r="I1918"/>
      <c r="J1918"/>
    </row>
    <row r="1919" spans="8:10" x14ac:dyDescent="0.3">
      <c r="H1919"/>
      <c r="I1919"/>
      <c r="J1919"/>
    </row>
    <row r="1920" spans="8:10" x14ac:dyDescent="0.3">
      <c r="H1920"/>
      <c r="I1920"/>
      <c r="J1920"/>
    </row>
    <row r="1921" spans="8:10" x14ac:dyDescent="0.3">
      <c r="H1921"/>
      <c r="I1921"/>
      <c r="J1921"/>
    </row>
    <row r="1922" spans="8:10" x14ac:dyDescent="0.3">
      <c r="H1922"/>
      <c r="I1922"/>
      <c r="J1922"/>
    </row>
    <row r="1923" spans="8:10" x14ac:dyDescent="0.3">
      <c r="H1923"/>
      <c r="I1923"/>
      <c r="J1923"/>
    </row>
    <row r="1924" spans="8:10" x14ac:dyDescent="0.3">
      <c r="H1924"/>
      <c r="I1924"/>
      <c r="J1924"/>
    </row>
    <row r="1925" spans="8:10" x14ac:dyDescent="0.3">
      <c r="H1925"/>
      <c r="I1925"/>
      <c r="J1925"/>
    </row>
    <row r="1926" spans="8:10" x14ac:dyDescent="0.3">
      <c r="H1926"/>
      <c r="I1926"/>
      <c r="J1926"/>
    </row>
    <row r="1927" spans="8:10" x14ac:dyDescent="0.3">
      <c r="H1927"/>
      <c r="I1927"/>
      <c r="J1927"/>
    </row>
    <row r="1928" spans="8:10" x14ac:dyDescent="0.3">
      <c r="H1928"/>
      <c r="I1928"/>
      <c r="J1928"/>
    </row>
    <row r="1929" spans="8:10" x14ac:dyDescent="0.3">
      <c r="H1929"/>
      <c r="I1929"/>
      <c r="J1929"/>
    </row>
    <row r="1930" spans="8:10" x14ac:dyDescent="0.3">
      <c r="H1930"/>
      <c r="I1930"/>
      <c r="J1930"/>
    </row>
    <row r="1931" spans="8:10" x14ac:dyDescent="0.3">
      <c r="H1931"/>
      <c r="I1931"/>
      <c r="J1931"/>
    </row>
    <row r="1932" spans="8:10" x14ac:dyDescent="0.3">
      <c r="H1932"/>
      <c r="I1932"/>
      <c r="J1932"/>
    </row>
    <row r="1933" spans="8:10" x14ac:dyDescent="0.3">
      <c r="H1933"/>
      <c r="I1933"/>
      <c r="J1933"/>
    </row>
    <row r="1934" spans="8:10" x14ac:dyDescent="0.3">
      <c r="H1934"/>
      <c r="I1934"/>
      <c r="J1934"/>
    </row>
    <row r="1935" spans="8:10" x14ac:dyDescent="0.3">
      <c r="H1935"/>
      <c r="I1935"/>
      <c r="J1935"/>
    </row>
    <row r="1936" spans="8:10" x14ac:dyDescent="0.3">
      <c r="H1936"/>
      <c r="I1936"/>
      <c r="J1936"/>
    </row>
    <row r="1937" spans="8:10" x14ac:dyDescent="0.3">
      <c r="H1937"/>
      <c r="I1937"/>
      <c r="J1937"/>
    </row>
    <row r="1938" spans="8:10" x14ac:dyDescent="0.3">
      <c r="H1938"/>
      <c r="I1938"/>
      <c r="J1938"/>
    </row>
    <row r="1939" spans="8:10" x14ac:dyDescent="0.3">
      <c r="H1939"/>
      <c r="I1939"/>
      <c r="J1939"/>
    </row>
    <row r="1940" spans="8:10" x14ac:dyDescent="0.3">
      <c r="H1940"/>
      <c r="I1940"/>
      <c r="J1940"/>
    </row>
    <row r="1941" spans="8:10" x14ac:dyDescent="0.3">
      <c r="H1941"/>
      <c r="I1941"/>
      <c r="J1941"/>
    </row>
    <row r="1942" spans="8:10" x14ac:dyDescent="0.3">
      <c r="H1942"/>
      <c r="I1942"/>
      <c r="J1942"/>
    </row>
    <row r="1943" spans="8:10" x14ac:dyDescent="0.3">
      <c r="H1943"/>
      <c r="I1943"/>
      <c r="J1943"/>
    </row>
    <row r="1944" spans="8:10" x14ac:dyDescent="0.3">
      <c r="H1944"/>
      <c r="I1944"/>
      <c r="J1944"/>
    </row>
    <row r="1945" spans="8:10" x14ac:dyDescent="0.3">
      <c r="H1945"/>
      <c r="I1945"/>
      <c r="J1945"/>
    </row>
    <row r="1946" spans="8:10" x14ac:dyDescent="0.3">
      <c r="H1946"/>
      <c r="I1946"/>
      <c r="J1946"/>
    </row>
    <row r="1947" spans="8:10" x14ac:dyDescent="0.3">
      <c r="H1947"/>
      <c r="I1947"/>
      <c r="J1947"/>
    </row>
    <row r="1948" spans="8:10" x14ac:dyDescent="0.3">
      <c r="H1948"/>
      <c r="I1948"/>
      <c r="J1948"/>
    </row>
    <row r="1949" spans="8:10" x14ac:dyDescent="0.3">
      <c r="H1949"/>
      <c r="I1949"/>
      <c r="J1949"/>
    </row>
    <row r="1950" spans="8:10" x14ac:dyDescent="0.3">
      <c r="H1950"/>
      <c r="I1950"/>
      <c r="J1950"/>
    </row>
    <row r="1951" spans="8:10" x14ac:dyDescent="0.3">
      <c r="H1951"/>
      <c r="I1951"/>
      <c r="J1951"/>
    </row>
    <row r="1952" spans="8:10" x14ac:dyDescent="0.3">
      <c r="H1952"/>
      <c r="I1952"/>
      <c r="J1952"/>
    </row>
    <row r="1953" spans="8:10" x14ac:dyDescent="0.3">
      <c r="H1953"/>
      <c r="I1953"/>
      <c r="J1953"/>
    </row>
    <row r="1954" spans="8:10" x14ac:dyDescent="0.3">
      <c r="H1954"/>
      <c r="I1954"/>
      <c r="J1954"/>
    </row>
    <row r="1955" spans="8:10" x14ac:dyDescent="0.3">
      <c r="H1955"/>
      <c r="I1955"/>
      <c r="J1955"/>
    </row>
    <row r="1956" spans="8:10" x14ac:dyDescent="0.3">
      <c r="H1956"/>
      <c r="I1956"/>
      <c r="J1956"/>
    </row>
    <row r="1957" spans="8:10" x14ac:dyDescent="0.3">
      <c r="H1957"/>
      <c r="I1957"/>
      <c r="J1957"/>
    </row>
    <row r="1958" spans="8:10" x14ac:dyDescent="0.3">
      <c r="H1958"/>
      <c r="I1958"/>
      <c r="J1958"/>
    </row>
    <row r="1959" spans="8:10" x14ac:dyDescent="0.3">
      <c r="H1959"/>
      <c r="I1959"/>
      <c r="J1959"/>
    </row>
    <row r="1960" spans="8:10" x14ac:dyDescent="0.3">
      <c r="H1960"/>
      <c r="I1960"/>
      <c r="J1960"/>
    </row>
    <row r="1961" spans="8:10" x14ac:dyDescent="0.3">
      <c r="H1961"/>
      <c r="I1961"/>
      <c r="J1961"/>
    </row>
    <row r="1962" spans="8:10" x14ac:dyDescent="0.3">
      <c r="H1962"/>
      <c r="I1962"/>
      <c r="J1962"/>
    </row>
    <row r="1963" spans="8:10" x14ac:dyDescent="0.3">
      <c r="H1963"/>
      <c r="I1963"/>
      <c r="J1963"/>
    </row>
    <row r="1964" spans="8:10" x14ac:dyDescent="0.3">
      <c r="H1964"/>
      <c r="I1964"/>
      <c r="J1964"/>
    </row>
    <row r="1965" spans="8:10" x14ac:dyDescent="0.3">
      <c r="H1965"/>
      <c r="I1965"/>
      <c r="J1965"/>
    </row>
    <row r="1966" spans="8:10" x14ac:dyDescent="0.3">
      <c r="H1966"/>
      <c r="I1966"/>
      <c r="J1966"/>
    </row>
    <row r="1967" spans="8:10" x14ac:dyDescent="0.3">
      <c r="H1967"/>
      <c r="I1967"/>
      <c r="J1967"/>
    </row>
    <row r="1968" spans="8:10" x14ac:dyDescent="0.3">
      <c r="H1968"/>
      <c r="I1968"/>
      <c r="J1968"/>
    </row>
    <row r="1969" spans="8:10" x14ac:dyDescent="0.3">
      <c r="H1969"/>
      <c r="I1969"/>
      <c r="J1969"/>
    </row>
    <row r="1970" spans="8:10" x14ac:dyDescent="0.3">
      <c r="H1970"/>
      <c r="I1970"/>
      <c r="J1970"/>
    </row>
    <row r="1971" spans="8:10" x14ac:dyDescent="0.3">
      <c r="H1971"/>
      <c r="I1971"/>
      <c r="J1971"/>
    </row>
    <row r="1972" spans="8:10" x14ac:dyDescent="0.3">
      <c r="H1972"/>
      <c r="I1972"/>
      <c r="J1972"/>
    </row>
    <row r="1973" spans="8:10" x14ac:dyDescent="0.3">
      <c r="H1973"/>
      <c r="I1973"/>
      <c r="J1973"/>
    </row>
    <row r="1974" spans="8:10" x14ac:dyDescent="0.3">
      <c r="H1974"/>
      <c r="I1974"/>
      <c r="J1974"/>
    </row>
    <row r="1975" spans="8:10" x14ac:dyDescent="0.3">
      <c r="H1975"/>
      <c r="I1975"/>
      <c r="J1975"/>
    </row>
    <row r="1976" spans="8:10" x14ac:dyDescent="0.3">
      <c r="H1976"/>
      <c r="I1976"/>
      <c r="J1976"/>
    </row>
    <row r="1977" spans="8:10" x14ac:dyDescent="0.3">
      <c r="H1977"/>
      <c r="I1977"/>
      <c r="J1977"/>
    </row>
    <row r="1978" spans="8:10" x14ac:dyDescent="0.3">
      <c r="H1978"/>
      <c r="I1978"/>
      <c r="J1978"/>
    </row>
    <row r="1979" spans="8:10" x14ac:dyDescent="0.3">
      <c r="H1979"/>
      <c r="I1979"/>
      <c r="J1979"/>
    </row>
    <row r="1980" spans="8:10" x14ac:dyDescent="0.3">
      <c r="H1980"/>
      <c r="I1980"/>
      <c r="J1980"/>
    </row>
    <row r="1981" spans="8:10" x14ac:dyDescent="0.3">
      <c r="H1981"/>
      <c r="I1981"/>
      <c r="J1981"/>
    </row>
    <row r="1982" spans="8:10" x14ac:dyDescent="0.3">
      <c r="H1982"/>
      <c r="I1982"/>
      <c r="J1982"/>
    </row>
    <row r="1983" spans="8:10" x14ac:dyDescent="0.3">
      <c r="H1983"/>
      <c r="I1983"/>
      <c r="J1983"/>
    </row>
    <row r="1984" spans="8:10" x14ac:dyDescent="0.3">
      <c r="H1984"/>
      <c r="I1984"/>
      <c r="J1984"/>
    </row>
    <row r="1985" spans="8:10" x14ac:dyDescent="0.3">
      <c r="H1985"/>
      <c r="I1985"/>
      <c r="J1985"/>
    </row>
    <row r="1986" spans="8:10" x14ac:dyDescent="0.3">
      <c r="H1986"/>
      <c r="I1986"/>
      <c r="J1986"/>
    </row>
    <row r="1987" spans="8:10" x14ac:dyDescent="0.3">
      <c r="H1987"/>
      <c r="I1987"/>
      <c r="J1987"/>
    </row>
    <row r="1988" spans="8:10" x14ac:dyDescent="0.3">
      <c r="H1988"/>
      <c r="I1988"/>
      <c r="J1988"/>
    </row>
    <row r="1989" spans="8:10" x14ac:dyDescent="0.3">
      <c r="H1989"/>
      <c r="I1989"/>
      <c r="J1989"/>
    </row>
    <row r="1990" spans="8:10" x14ac:dyDescent="0.3">
      <c r="H1990"/>
      <c r="I1990"/>
      <c r="J1990"/>
    </row>
    <row r="1991" spans="8:10" x14ac:dyDescent="0.3">
      <c r="H1991"/>
      <c r="I1991"/>
      <c r="J1991"/>
    </row>
    <row r="1992" spans="8:10" x14ac:dyDescent="0.3">
      <c r="H1992"/>
      <c r="I1992"/>
      <c r="J1992"/>
    </row>
    <row r="1993" spans="8:10" x14ac:dyDescent="0.3">
      <c r="H1993"/>
      <c r="I1993"/>
      <c r="J1993"/>
    </row>
    <row r="1994" spans="8:10" x14ac:dyDescent="0.3">
      <c r="H1994"/>
      <c r="I1994"/>
      <c r="J1994"/>
    </row>
    <row r="1995" spans="8:10" x14ac:dyDescent="0.3">
      <c r="H1995"/>
      <c r="I1995"/>
      <c r="J1995"/>
    </row>
    <row r="1996" spans="8:10" x14ac:dyDescent="0.3">
      <c r="H1996"/>
      <c r="I1996"/>
      <c r="J1996"/>
    </row>
    <row r="1997" spans="8:10" x14ac:dyDescent="0.3">
      <c r="H1997"/>
      <c r="I1997"/>
      <c r="J1997"/>
    </row>
    <row r="1998" spans="8:10" x14ac:dyDescent="0.3">
      <c r="H1998"/>
      <c r="I1998"/>
      <c r="J1998"/>
    </row>
    <row r="1999" spans="8:10" x14ac:dyDescent="0.3">
      <c r="H1999"/>
      <c r="I1999"/>
      <c r="J1999"/>
    </row>
    <row r="2000" spans="8:10" x14ac:dyDescent="0.3">
      <c r="H2000"/>
      <c r="I2000"/>
      <c r="J2000"/>
    </row>
    <row r="2001" spans="8:10" x14ac:dyDescent="0.3">
      <c r="H2001"/>
      <c r="I2001"/>
      <c r="J2001"/>
    </row>
    <row r="2002" spans="8:10" x14ac:dyDescent="0.3">
      <c r="H2002"/>
      <c r="I2002"/>
      <c r="J2002"/>
    </row>
    <row r="2003" spans="8:10" x14ac:dyDescent="0.3">
      <c r="H2003"/>
      <c r="I2003"/>
      <c r="J2003"/>
    </row>
    <row r="2004" spans="8:10" x14ac:dyDescent="0.3">
      <c r="H2004"/>
      <c r="I2004"/>
      <c r="J2004"/>
    </row>
    <row r="2005" spans="8:10" x14ac:dyDescent="0.3">
      <c r="H2005"/>
      <c r="I2005"/>
      <c r="J2005"/>
    </row>
    <row r="2006" spans="8:10" x14ac:dyDescent="0.3">
      <c r="H2006"/>
      <c r="I2006"/>
      <c r="J2006"/>
    </row>
    <row r="2007" spans="8:10" x14ac:dyDescent="0.3">
      <c r="H2007"/>
      <c r="I2007"/>
      <c r="J2007"/>
    </row>
    <row r="2008" spans="8:10" x14ac:dyDescent="0.3">
      <c r="H2008"/>
      <c r="I2008"/>
      <c r="J2008"/>
    </row>
    <row r="2009" spans="8:10" x14ac:dyDescent="0.3">
      <c r="H2009"/>
      <c r="I2009"/>
      <c r="J2009"/>
    </row>
    <row r="2010" spans="8:10" x14ac:dyDescent="0.3">
      <c r="H2010"/>
      <c r="I2010"/>
      <c r="J2010"/>
    </row>
    <row r="2011" spans="8:10" x14ac:dyDescent="0.3">
      <c r="H2011"/>
      <c r="I2011"/>
      <c r="J2011"/>
    </row>
    <row r="2012" spans="8:10" x14ac:dyDescent="0.3">
      <c r="H2012"/>
      <c r="I2012"/>
      <c r="J2012"/>
    </row>
    <row r="2013" spans="8:10" x14ac:dyDescent="0.3">
      <c r="H2013"/>
      <c r="I2013"/>
      <c r="J2013"/>
    </row>
    <row r="2014" spans="8:10" x14ac:dyDescent="0.3">
      <c r="H2014"/>
      <c r="I2014"/>
      <c r="J2014"/>
    </row>
    <row r="2015" spans="8:10" x14ac:dyDescent="0.3">
      <c r="H2015"/>
      <c r="I2015"/>
      <c r="J2015"/>
    </row>
    <row r="2016" spans="8:10" x14ac:dyDescent="0.3">
      <c r="H2016"/>
      <c r="I2016"/>
      <c r="J2016"/>
    </row>
    <row r="2017" spans="8:10" x14ac:dyDescent="0.3">
      <c r="H2017"/>
      <c r="I2017"/>
      <c r="J2017"/>
    </row>
    <row r="2018" spans="8:10" x14ac:dyDescent="0.3">
      <c r="H2018"/>
      <c r="I2018"/>
      <c r="J2018"/>
    </row>
    <row r="2019" spans="8:10" x14ac:dyDescent="0.3">
      <c r="H2019"/>
      <c r="I2019"/>
      <c r="J2019"/>
    </row>
    <row r="2020" spans="8:10" x14ac:dyDescent="0.3">
      <c r="H2020"/>
      <c r="I2020"/>
      <c r="J2020"/>
    </row>
    <row r="2021" spans="8:10" x14ac:dyDescent="0.3">
      <c r="H2021"/>
      <c r="I2021"/>
      <c r="J2021"/>
    </row>
    <row r="2022" spans="8:10" x14ac:dyDescent="0.3">
      <c r="H2022"/>
      <c r="I2022"/>
      <c r="J2022"/>
    </row>
    <row r="2023" spans="8:10" x14ac:dyDescent="0.3">
      <c r="H2023"/>
      <c r="I2023"/>
      <c r="J2023"/>
    </row>
    <row r="2024" spans="8:10" x14ac:dyDescent="0.3">
      <c r="H2024"/>
      <c r="I2024"/>
      <c r="J2024"/>
    </row>
    <row r="2025" spans="8:10" x14ac:dyDescent="0.3">
      <c r="H2025"/>
      <c r="I2025"/>
      <c r="J2025"/>
    </row>
    <row r="2026" spans="8:10" x14ac:dyDescent="0.3">
      <c r="H2026"/>
      <c r="I2026"/>
      <c r="J2026"/>
    </row>
    <row r="2027" spans="8:10" x14ac:dyDescent="0.3">
      <c r="H2027"/>
      <c r="I2027"/>
      <c r="J2027"/>
    </row>
    <row r="2028" spans="8:10" x14ac:dyDescent="0.3">
      <c r="H2028"/>
      <c r="I2028"/>
      <c r="J2028"/>
    </row>
    <row r="2029" spans="8:10" x14ac:dyDescent="0.3">
      <c r="H2029"/>
      <c r="I2029"/>
      <c r="J2029"/>
    </row>
    <row r="2030" spans="8:10" x14ac:dyDescent="0.3">
      <c r="H2030"/>
      <c r="I2030"/>
      <c r="J2030"/>
    </row>
    <row r="2031" spans="8:10" x14ac:dyDescent="0.3">
      <c r="H2031"/>
      <c r="I2031"/>
      <c r="J2031"/>
    </row>
    <row r="2032" spans="8:10" x14ac:dyDescent="0.3">
      <c r="H2032"/>
      <c r="I2032"/>
      <c r="J2032"/>
    </row>
    <row r="2033" spans="8:10" x14ac:dyDescent="0.3">
      <c r="H2033"/>
      <c r="I2033"/>
      <c r="J2033"/>
    </row>
    <row r="2034" spans="8:10" x14ac:dyDescent="0.3">
      <c r="H2034"/>
      <c r="I2034"/>
      <c r="J2034"/>
    </row>
    <row r="2035" spans="8:10" x14ac:dyDescent="0.3">
      <c r="H2035"/>
      <c r="I2035"/>
      <c r="J2035"/>
    </row>
    <row r="2036" spans="8:10" x14ac:dyDescent="0.3">
      <c r="H2036"/>
      <c r="I2036"/>
      <c r="J2036"/>
    </row>
    <row r="2037" spans="8:10" x14ac:dyDescent="0.3">
      <c r="H2037"/>
      <c r="I2037"/>
      <c r="J2037"/>
    </row>
    <row r="2038" spans="8:10" x14ac:dyDescent="0.3">
      <c r="H2038"/>
      <c r="I2038"/>
      <c r="J2038"/>
    </row>
    <row r="2039" spans="8:10" x14ac:dyDescent="0.3">
      <c r="H2039"/>
      <c r="I2039"/>
      <c r="J2039"/>
    </row>
    <row r="2040" spans="8:10" x14ac:dyDescent="0.3">
      <c r="H2040"/>
      <c r="I2040"/>
      <c r="J2040"/>
    </row>
    <row r="2041" spans="8:10" x14ac:dyDescent="0.3">
      <c r="H2041"/>
      <c r="I2041"/>
      <c r="J2041"/>
    </row>
    <row r="2042" spans="8:10" x14ac:dyDescent="0.3">
      <c r="H2042"/>
      <c r="I2042"/>
      <c r="J2042"/>
    </row>
    <row r="2043" spans="8:10" x14ac:dyDescent="0.3">
      <c r="H2043"/>
      <c r="I2043"/>
      <c r="J2043"/>
    </row>
    <row r="2044" spans="8:10" x14ac:dyDescent="0.3">
      <c r="H2044"/>
      <c r="I2044"/>
      <c r="J2044"/>
    </row>
    <row r="2045" spans="8:10" x14ac:dyDescent="0.3">
      <c r="H2045"/>
      <c r="I2045"/>
      <c r="J2045"/>
    </row>
    <row r="2046" spans="8:10" x14ac:dyDescent="0.3">
      <c r="H2046"/>
      <c r="I2046"/>
      <c r="J2046"/>
    </row>
    <row r="2047" spans="8:10" x14ac:dyDescent="0.3">
      <c r="H2047"/>
      <c r="I2047"/>
      <c r="J2047"/>
    </row>
    <row r="2048" spans="8:10" x14ac:dyDescent="0.3">
      <c r="H2048"/>
      <c r="I2048"/>
      <c r="J2048"/>
    </row>
    <row r="2049" spans="8:10" x14ac:dyDescent="0.3">
      <c r="H2049"/>
      <c r="I2049"/>
      <c r="J2049"/>
    </row>
    <row r="2050" spans="8:10" x14ac:dyDescent="0.3">
      <c r="H2050"/>
      <c r="I2050"/>
      <c r="J2050"/>
    </row>
    <row r="2051" spans="8:10" x14ac:dyDescent="0.3">
      <c r="H2051"/>
      <c r="I2051"/>
      <c r="J2051"/>
    </row>
    <row r="2052" spans="8:10" x14ac:dyDescent="0.3">
      <c r="H2052"/>
      <c r="I2052"/>
      <c r="J2052"/>
    </row>
    <row r="2053" spans="8:10" x14ac:dyDescent="0.3">
      <c r="H2053"/>
      <c r="I2053"/>
      <c r="J2053"/>
    </row>
    <row r="2054" spans="8:10" x14ac:dyDescent="0.3">
      <c r="H2054"/>
      <c r="I2054"/>
      <c r="J2054"/>
    </row>
    <row r="2055" spans="8:10" x14ac:dyDescent="0.3">
      <c r="H2055"/>
      <c r="I2055"/>
      <c r="J2055"/>
    </row>
    <row r="2056" spans="8:10" x14ac:dyDescent="0.3">
      <c r="H2056"/>
      <c r="I2056"/>
      <c r="J2056"/>
    </row>
    <row r="2057" spans="8:10" x14ac:dyDescent="0.3">
      <c r="H2057"/>
      <c r="I2057"/>
      <c r="J2057"/>
    </row>
    <row r="2058" spans="8:10" x14ac:dyDescent="0.3">
      <c r="H2058"/>
      <c r="I2058"/>
      <c r="J2058"/>
    </row>
    <row r="2059" spans="8:10" x14ac:dyDescent="0.3">
      <c r="H2059"/>
      <c r="I2059"/>
      <c r="J2059"/>
    </row>
    <row r="2060" spans="8:10" x14ac:dyDescent="0.3">
      <c r="H2060"/>
      <c r="I2060"/>
      <c r="J2060"/>
    </row>
    <row r="2061" spans="8:10" x14ac:dyDescent="0.3">
      <c r="H2061"/>
      <c r="I2061"/>
      <c r="J2061"/>
    </row>
    <row r="2062" spans="8:10" x14ac:dyDescent="0.3">
      <c r="H2062"/>
      <c r="I2062"/>
      <c r="J2062"/>
    </row>
    <row r="2063" spans="8:10" x14ac:dyDescent="0.3">
      <c r="H2063"/>
      <c r="I2063"/>
      <c r="J2063"/>
    </row>
    <row r="2064" spans="8:10" x14ac:dyDescent="0.3">
      <c r="H2064"/>
      <c r="I2064"/>
      <c r="J2064"/>
    </row>
    <row r="2065" spans="8:10" x14ac:dyDescent="0.3">
      <c r="H2065"/>
      <c r="I2065"/>
      <c r="J2065"/>
    </row>
    <row r="2066" spans="8:10" x14ac:dyDescent="0.3">
      <c r="H2066"/>
      <c r="I2066"/>
      <c r="J2066"/>
    </row>
    <row r="2067" spans="8:10" x14ac:dyDescent="0.3">
      <c r="H2067"/>
      <c r="I2067"/>
      <c r="J2067"/>
    </row>
    <row r="2068" spans="8:10" x14ac:dyDescent="0.3">
      <c r="H2068"/>
      <c r="I2068"/>
      <c r="J2068"/>
    </row>
    <row r="2069" spans="8:10" x14ac:dyDescent="0.3">
      <c r="H2069"/>
      <c r="I2069"/>
      <c r="J2069"/>
    </row>
    <row r="2070" spans="8:10" x14ac:dyDescent="0.3">
      <c r="H2070"/>
      <c r="I2070"/>
      <c r="J2070"/>
    </row>
    <row r="2071" spans="8:10" x14ac:dyDescent="0.3">
      <c r="H2071"/>
      <c r="I2071"/>
      <c r="J2071"/>
    </row>
    <row r="2072" spans="8:10" x14ac:dyDescent="0.3">
      <c r="H2072"/>
      <c r="I2072"/>
      <c r="J2072"/>
    </row>
    <row r="2073" spans="8:10" x14ac:dyDescent="0.3">
      <c r="H2073"/>
      <c r="I2073"/>
      <c r="J2073"/>
    </row>
    <row r="2074" spans="8:10" x14ac:dyDescent="0.3">
      <c r="H2074"/>
      <c r="I2074"/>
      <c r="J2074"/>
    </row>
    <row r="2075" spans="8:10" x14ac:dyDescent="0.3">
      <c r="H2075"/>
      <c r="I2075"/>
      <c r="J2075"/>
    </row>
    <row r="2076" spans="8:10" x14ac:dyDescent="0.3">
      <c r="H2076"/>
      <c r="I2076"/>
      <c r="J2076"/>
    </row>
    <row r="2077" spans="8:10" x14ac:dyDescent="0.3">
      <c r="H2077"/>
      <c r="I2077"/>
      <c r="J2077"/>
    </row>
    <row r="2078" spans="8:10" x14ac:dyDescent="0.3">
      <c r="H2078"/>
      <c r="I2078"/>
      <c r="J2078"/>
    </row>
    <row r="2079" spans="8:10" x14ac:dyDescent="0.3">
      <c r="H2079"/>
      <c r="I2079"/>
      <c r="J2079"/>
    </row>
    <row r="2080" spans="8:10" x14ac:dyDescent="0.3">
      <c r="H2080"/>
      <c r="I2080"/>
      <c r="J2080"/>
    </row>
    <row r="2081" spans="8:10" x14ac:dyDescent="0.3">
      <c r="H2081"/>
      <c r="I2081"/>
      <c r="J2081"/>
    </row>
    <row r="2082" spans="8:10" x14ac:dyDescent="0.3">
      <c r="H2082"/>
      <c r="I2082"/>
      <c r="J2082"/>
    </row>
    <row r="2083" spans="8:10" x14ac:dyDescent="0.3">
      <c r="H2083"/>
      <c r="I2083"/>
      <c r="J2083"/>
    </row>
    <row r="2084" spans="8:10" x14ac:dyDescent="0.3">
      <c r="H2084"/>
      <c r="I2084"/>
      <c r="J2084"/>
    </row>
    <row r="2085" spans="8:10" x14ac:dyDescent="0.3">
      <c r="H2085"/>
      <c r="I2085"/>
      <c r="J2085"/>
    </row>
    <row r="2086" spans="8:10" x14ac:dyDescent="0.3">
      <c r="H2086"/>
      <c r="I2086"/>
      <c r="J2086"/>
    </row>
    <row r="2087" spans="8:10" x14ac:dyDescent="0.3">
      <c r="H2087"/>
      <c r="I2087"/>
      <c r="J2087"/>
    </row>
    <row r="2088" spans="8:10" x14ac:dyDescent="0.3">
      <c r="H2088"/>
      <c r="I2088"/>
      <c r="J2088"/>
    </row>
    <row r="2089" spans="8:10" x14ac:dyDescent="0.3">
      <c r="H2089"/>
      <c r="I2089"/>
      <c r="J2089"/>
    </row>
    <row r="2090" spans="8:10" x14ac:dyDescent="0.3">
      <c r="H2090"/>
      <c r="I2090"/>
      <c r="J2090"/>
    </row>
    <row r="2091" spans="8:10" x14ac:dyDescent="0.3">
      <c r="H2091"/>
      <c r="I2091"/>
      <c r="J2091"/>
    </row>
    <row r="2092" spans="8:10" x14ac:dyDescent="0.3">
      <c r="H2092"/>
      <c r="I2092"/>
      <c r="J2092"/>
    </row>
    <row r="2093" spans="8:10" x14ac:dyDescent="0.3">
      <c r="H2093"/>
      <c r="I2093"/>
      <c r="J2093"/>
    </row>
    <row r="2094" spans="8:10" x14ac:dyDescent="0.3">
      <c r="H2094"/>
      <c r="I2094"/>
      <c r="J2094"/>
    </row>
    <row r="2095" spans="8:10" x14ac:dyDescent="0.3">
      <c r="H2095"/>
      <c r="I2095"/>
      <c r="J2095"/>
    </row>
    <row r="2096" spans="8:10" x14ac:dyDescent="0.3">
      <c r="H2096"/>
      <c r="I2096"/>
      <c r="J2096"/>
    </row>
    <row r="2097" spans="8:10" x14ac:dyDescent="0.3">
      <c r="H2097"/>
      <c r="I2097"/>
      <c r="J2097"/>
    </row>
    <row r="2098" spans="8:10" x14ac:dyDescent="0.3">
      <c r="H2098"/>
      <c r="I2098"/>
      <c r="J2098"/>
    </row>
    <row r="2099" spans="8:10" x14ac:dyDescent="0.3">
      <c r="H2099"/>
      <c r="I2099"/>
      <c r="J2099"/>
    </row>
    <row r="2100" spans="8:10" x14ac:dyDescent="0.3">
      <c r="H2100"/>
      <c r="I2100"/>
      <c r="J2100"/>
    </row>
    <row r="2101" spans="8:10" x14ac:dyDescent="0.3">
      <c r="H2101"/>
      <c r="I2101"/>
      <c r="J2101"/>
    </row>
    <row r="2102" spans="8:10" x14ac:dyDescent="0.3">
      <c r="H2102"/>
      <c r="I2102"/>
      <c r="J2102"/>
    </row>
    <row r="2103" spans="8:10" x14ac:dyDescent="0.3">
      <c r="H2103"/>
      <c r="I2103"/>
      <c r="J2103"/>
    </row>
    <row r="2104" spans="8:10" x14ac:dyDescent="0.3">
      <c r="H2104"/>
      <c r="I2104"/>
      <c r="J2104"/>
    </row>
    <row r="2105" spans="8:10" x14ac:dyDescent="0.3">
      <c r="H2105"/>
      <c r="I2105"/>
      <c r="J2105"/>
    </row>
    <row r="2106" spans="8:10" x14ac:dyDescent="0.3">
      <c r="H2106"/>
      <c r="I2106"/>
      <c r="J2106"/>
    </row>
    <row r="2107" spans="8:10" x14ac:dyDescent="0.3">
      <c r="H2107"/>
      <c r="I2107"/>
      <c r="J2107"/>
    </row>
    <row r="2108" spans="8:10" x14ac:dyDescent="0.3">
      <c r="H2108"/>
      <c r="I2108"/>
      <c r="J2108"/>
    </row>
    <row r="2109" spans="8:10" x14ac:dyDescent="0.3">
      <c r="H2109"/>
      <c r="I2109"/>
      <c r="J2109"/>
    </row>
    <row r="2110" spans="8:10" x14ac:dyDescent="0.3">
      <c r="H2110"/>
      <c r="I2110"/>
      <c r="J2110"/>
    </row>
    <row r="2111" spans="8:10" x14ac:dyDescent="0.3">
      <c r="H2111"/>
      <c r="I2111"/>
      <c r="J2111"/>
    </row>
    <row r="2112" spans="8:10" x14ac:dyDescent="0.3">
      <c r="H2112"/>
      <c r="I2112"/>
      <c r="J2112"/>
    </row>
    <row r="2113" spans="8:10" x14ac:dyDescent="0.3">
      <c r="H2113"/>
      <c r="I2113"/>
      <c r="J2113"/>
    </row>
    <row r="2114" spans="8:10" x14ac:dyDescent="0.3">
      <c r="H2114"/>
      <c r="I2114"/>
      <c r="J2114"/>
    </row>
    <row r="2115" spans="8:10" x14ac:dyDescent="0.3">
      <c r="H2115"/>
      <c r="I2115"/>
      <c r="J2115"/>
    </row>
    <row r="2116" spans="8:10" x14ac:dyDescent="0.3">
      <c r="H2116"/>
      <c r="I2116"/>
      <c r="J2116"/>
    </row>
    <row r="2117" spans="8:10" x14ac:dyDescent="0.3">
      <c r="H2117"/>
      <c r="I2117"/>
      <c r="J2117"/>
    </row>
    <row r="2118" spans="8:10" x14ac:dyDescent="0.3">
      <c r="H2118"/>
      <c r="I2118"/>
      <c r="J2118"/>
    </row>
    <row r="2119" spans="8:10" x14ac:dyDescent="0.3">
      <c r="H2119"/>
      <c r="I2119"/>
      <c r="J2119"/>
    </row>
    <row r="2120" spans="8:10" x14ac:dyDescent="0.3">
      <c r="H2120"/>
      <c r="I2120"/>
      <c r="J2120"/>
    </row>
    <row r="2121" spans="8:10" x14ac:dyDescent="0.3">
      <c r="H2121"/>
      <c r="I2121"/>
      <c r="J2121"/>
    </row>
    <row r="2122" spans="8:10" x14ac:dyDescent="0.3">
      <c r="H2122"/>
      <c r="I2122"/>
      <c r="J2122"/>
    </row>
    <row r="2123" spans="8:10" x14ac:dyDescent="0.3">
      <c r="H2123"/>
      <c r="I2123"/>
      <c r="J2123"/>
    </row>
    <row r="2124" spans="8:10" x14ac:dyDescent="0.3">
      <c r="H2124"/>
      <c r="I2124"/>
      <c r="J2124"/>
    </row>
    <row r="2125" spans="8:10" x14ac:dyDescent="0.3">
      <c r="H2125"/>
      <c r="I2125"/>
      <c r="J2125"/>
    </row>
    <row r="2126" spans="8:10" x14ac:dyDescent="0.3">
      <c r="H2126"/>
      <c r="I2126"/>
      <c r="J2126"/>
    </row>
    <row r="2127" spans="8:10" x14ac:dyDescent="0.3">
      <c r="H2127"/>
      <c r="I2127"/>
      <c r="J2127"/>
    </row>
    <row r="2128" spans="8:10" x14ac:dyDescent="0.3">
      <c r="H2128"/>
      <c r="I2128"/>
      <c r="J2128"/>
    </row>
    <row r="2129" spans="8:10" x14ac:dyDescent="0.3">
      <c r="H2129"/>
      <c r="I2129"/>
      <c r="J2129"/>
    </row>
    <row r="2130" spans="8:10" x14ac:dyDescent="0.3">
      <c r="H2130"/>
      <c r="I2130"/>
      <c r="J2130"/>
    </row>
    <row r="2131" spans="8:10" x14ac:dyDescent="0.3">
      <c r="H2131"/>
      <c r="I2131"/>
      <c r="J2131"/>
    </row>
    <row r="2132" spans="8:10" x14ac:dyDescent="0.3">
      <c r="H2132"/>
      <c r="I2132"/>
      <c r="J2132"/>
    </row>
    <row r="2133" spans="8:10" x14ac:dyDescent="0.3">
      <c r="H2133"/>
      <c r="I2133"/>
      <c r="J2133"/>
    </row>
    <row r="2134" spans="8:10" x14ac:dyDescent="0.3">
      <c r="H2134"/>
      <c r="I2134"/>
      <c r="J2134"/>
    </row>
    <row r="2135" spans="8:10" x14ac:dyDescent="0.3">
      <c r="H2135"/>
      <c r="I2135"/>
      <c r="J2135"/>
    </row>
    <row r="2136" spans="8:10" x14ac:dyDescent="0.3">
      <c r="H2136"/>
      <c r="I2136"/>
      <c r="J2136"/>
    </row>
    <row r="2137" spans="8:10" x14ac:dyDescent="0.3">
      <c r="H2137"/>
      <c r="I2137"/>
      <c r="J2137"/>
    </row>
    <row r="2138" spans="8:10" x14ac:dyDescent="0.3">
      <c r="H2138"/>
      <c r="I2138"/>
      <c r="J2138"/>
    </row>
    <row r="2139" spans="8:10" x14ac:dyDescent="0.3">
      <c r="H2139"/>
      <c r="I2139"/>
      <c r="J2139"/>
    </row>
    <row r="2140" spans="8:10" x14ac:dyDescent="0.3">
      <c r="H2140"/>
      <c r="I2140"/>
      <c r="J2140"/>
    </row>
    <row r="2141" spans="8:10" x14ac:dyDescent="0.3">
      <c r="H2141"/>
      <c r="I2141"/>
      <c r="J2141"/>
    </row>
    <row r="2142" spans="8:10" x14ac:dyDescent="0.3">
      <c r="H2142"/>
      <c r="I2142"/>
      <c r="J2142"/>
    </row>
    <row r="2143" spans="8:10" x14ac:dyDescent="0.3">
      <c r="H2143"/>
      <c r="I2143"/>
      <c r="J2143"/>
    </row>
    <row r="2144" spans="8:10" x14ac:dyDescent="0.3">
      <c r="H2144"/>
      <c r="I2144"/>
      <c r="J2144"/>
    </row>
    <row r="2145" spans="8:10" x14ac:dyDescent="0.3">
      <c r="H2145"/>
      <c r="I2145"/>
      <c r="J2145"/>
    </row>
    <row r="2146" spans="8:10" x14ac:dyDescent="0.3">
      <c r="H2146"/>
      <c r="I2146"/>
      <c r="J2146"/>
    </row>
    <row r="2147" spans="8:10" x14ac:dyDescent="0.3">
      <c r="H2147"/>
      <c r="I2147"/>
      <c r="J2147"/>
    </row>
    <row r="2148" spans="8:10" x14ac:dyDescent="0.3">
      <c r="H2148"/>
      <c r="I2148"/>
      <c r="J2148"/>
    </row>
    <row r="2149" spans="8:10" x14ac:dyDescent="0.3">
      <c r="H2149"/>
      <c r="I2149"/>
      <c r="J2149"/>
    </row>
    <row r="2150" spans="8:10" x14ac:dyDescent="0.3">
      <c r="H2150"/>
      <c r="I2150"/>
      <c r="J2150"/>
    </row>
    <row r="2151" spans="8:10" x14ac:dyDescent="0.3">
      <c r="H2151"/>
      <c r="I2151"/>
      <c r="J2151"/>
    </row>
    <row r="2152" spans="8:10" x14ac:dyDescent="0.3">
      <c r="H2152"/>
      <c r="I2152"/>
      <c r="J2152"/>
    </row>
    <row r="2153" spans="8:10" x14ac:dyDescent="0.3">
      <c r="H2153"/>
      <c r="I2153"/>
      <c r="J2153"/>
    </row>
    <row r="2154" spans="8:10" x14ac:dyDescent="0.3">
      <c r="H2154"/>
      <c r="I2154"/>
      <c r="J2154"/>
    </row>
    <row r="2155" spans="8:10" x14ac:dyDescent="0.3">
      <c r="H2155"/>
      <c r="I2155"/>
      <c r="J2155"/>
    </row>
    <row r="2156" spans="8:10" x14ac:dyDescent="0.3">
      <c r="H2156"/>
      <c r="I2156"/>
      <c r="J2156"/>
    </row>
    <row r="2157" spans="8:10" x14ac:dyDescent="0.3">
      <c r="H2157"/>
      <c r="I2157"/>
      <c r="J2157"/>
    </row>
    <row r="2158" spans="8:10" x14ac:dyDescent="0.3">
      <c r="H2158"/>
      <c r="I2158"/>
      <c r="J2158"/>
    </row>
    <row r="2159" spans="8:10" x14ac:dyDescent="0.3">
      <c r="H2159"/>
      <c r="I2159"/>
      <c r="J2159"/>
    </row>
    <row r="2160" spans="8:10" x14ac:dyDescent="0.3">
      <c r="H2160"/>
      <c r="I2160"/>
      <c r="J2160"/>
    </row>
    <row r="2161" spans="8:10" x14ac:dyDescent="0.3">
      <c r="H2161"/>
      <c r="I2161"/>
      <c r="J2161"/>
    </row>
    <row r="2162" spans="8:10" x14ac:dyDescent="0.3">
      <c r="H2162"/>
      <c r="I2162"/>
      <c r="J2162"/>
    </row>
    <row r="2163" spans="8:10" x14ac:dyDescent="0.3">
      <c r="H2163"/>
      <c r="I2163"/>
      <c r="J2163"/>
    </row>
    <row r="2164" spans="8:10" x14ac:dyDescent="0.3">
      <c r="H2164"/>
      <c r="I2164"/>
      <c r="J2164"/>
    </row>
    <row r="2165" spans="8:10" x14ac:dyDescent="0.3">
      <c r="H2165"/>
      <c r="I2165"/>
      <c r="J2165"/>
    </row>
    <row r="2166" spans="8:10" x14ac:dyDescent="0.3">
      <c r="H2166"/>
      <c r="I2166"/>
      <c r="J2166"/>
    </row>
    <row r="2167" spans="8:10" x14ac:dyDescent="0.3">
      <c r="H2167"/>
      <c r="I2167"/>
      <c r="J2167"/>
    </row>
    <row r="2168" spans="8:10" x14ac:dyDescent="0.3">
      <c r="H2168"/>
      <c r="I2168"/>
      <c r="J2168"/>
    </row>
    <row r="2169" spans="8:10" x14ac:dyDescent="0.3">
      <c r="H2169"/>
      <c r="I2169"/>
      <c r="J2169"/>
    </row>
    <row r="2170" spans="8:10" x14ac:dyDescent="0.3">
      <c r="H2170"/>
      <c r="I2170"/>
      <c r="J2170"/>
    </row>
    <row r="2171" spans="8:10" x14ac:dyDescent="0.3">
      <c r="H2171"/>
      <c r="I2171"/>
      <c r="J2171"/>
    </row>
    <row r="2172" spans="8:10" x14ac:dyDescent="0.3">
      <c r="H2172"/>
      <c r="I2172"/>
      <c r="J2172"/>
    </row>
    <row r="2173" spans="8:10" x14ac:dyDescent="0.3">
      <c r="H2173"/>
      <c r="I2173"/>
      <c r="J2173"/>
    </row>
    <row r="2174" spans="8:10" x14ac:dyDescent="0.3">
      <c r="H2174"/>
      <c r="I2174"/>
      <c r="J2174"/>
    </row>
    <row r="2175" spans="8:10" x14ac:dyDescent="0.3">
      <c r="H2175"/>
      <c r="I2175"/>
      <c r="J2175"/>
    </row>
    <row r="2176" spans="8:10" x14ac:dyDescent="0.3">
      <c r="H2176"/>
      <c r="I2176"/>
      <c r="J2176"/>
    </row>
    <row r="2177" spans="8:10" x14ac:dyDescent="0.3">
      <c r="H2177"/>
      <c r="I2177"/>
      <c r="J2177"/>
    </row>
    <row r="2178" spans="8:10" x14ac:dyDescent="0.3">
      <c r="H2178"/>
      <c r="I2178"/>
      <c r="J2178"/>
    </row>
    <row r="2179" spans="8:10" x14ac:dyDescent="0.3">
      <c r="H2179"/>
      <c r="I2179"/>
      <c r="J2179"/>
    </row>
    <row r="2180" spans="8:10" x14ac:dyDescent="0.3">
      <c r="H2180"/>
      <c r="I2180"/>
      <c r="J2180"/>
    </row>
    <row r="2181" spans="8:10" x14ac:dyDescent="0.3">
      <c r="H2181"/>
      <c r="I2181"/>
      <c r="J2181"/>
    </row>
    <row r="2182" spans="8:10" x14ac:dyDescent="0.3">
      <c r="H2182"/>
      <c r="I2182"/>
      <c r="J2182"/>
    </row>
    <row r="2183" spans="8:10" x14ac:dyDescent="0.3">
      <c r="H2183"/>
      <c r="I2183"/>
      <c r="J2183"/>
    </row>
    <row r="2184" spans="8:10" x14ac:dyDescent="0.3">
      <c r="H2184"/>
      <c r="I2184"/>
      <c r="J2184"/>
    </row>
    <row r="2185" spans="8:10" x14ac:dyDescent="0.3">
      <c r="H2185"/>
      <c r="I2185"/>
      <c r="J2185"/>
    </row>
    <row r="2186" spans="8:10" x14ac:dyDescent="0.3">
      <c r="H2186"/>
      <c r="I2186"/>
      <c r="J2186"/>
    </row>
    <row r="2187" spans="8:10" x14ac:dyDescent="0.3">
      <c r="H2187"/>
      <c r="I2187"/>
      <c r="J2187"/>
    </row>
    <row r="2188" spans="8:10" x14ac:dyDescent="0.3">
      <c r="H2188"/>
      <c r="I2188"/>
      <c r="J2188"/>
    </row>
    <row r="2189" spans="8:10" x14ac:dyDescent="0.3">
      <c r="H2189"/>
      <c r="I2189"/>
      <c r="J2189"/>
    </row>
    <row r="2190" spans="8:10" x14ac:dyDescent="0.3">
      <c r="H2190"/>
      <c r="I2190"/>
      <c r="J2190"/>
    </row>
    <row r="2191" spans="8:10" x14ac:dyDescent="0.3">
      <c r="H2191"/>
      <c r="I2191"/>
      <c r="J2191"/>
    </row>
    <row r="2192" spans="8:10" x14ac:dyDescent="0.3">
      <c r="H2192"/>
      <c r="I2192"/>
      <c r="J2192"/>
    </row>
    <row r="2193" spans="8:10" x14ac:dyDescent="0.3">
      <c r="H2193"/>
      <c r="I2193"/>
      <c r="J2193"/>
    </row>
    <row r="2194" spans="8:10" x14ac:dyDescent="0.3">
      <c r="H2194"/>
      <c r="I2194"/>
      <c r="J2194"/>
    </row>
    <row r="2195" spans="8:10" x14ac:dyDescent="0.3">
      <c r="H2195"/>
      <c r="I2195"/>
      <c r="J2195"/>
    </row>
    <row r="2196" spans="8:10" x14ac:dyDescent="0.3">
      <c r="H2196"/>
      <c r="I2196"/>
      <c r="J2196"/>
    </row>
    <row r="2197" spans="8:10" x14ac:dyDescent="0.3">
      <c r="H2197"/>
      <c r="I2197"/>
      <c r="J2197"/>
    </row>
    <row r="2198" spans="8:10" x14ac:dyDescent="0.3">
      <c r="H2198"/>
      <c r="I2198"/>
      <c r="J2198"/>
    </row>
    <row r="2199" spans="8:10" x14ac:dyDescent="0.3">
      <c r="H2199"/>
      <c r="I2199"/>
      <c r="J2199"/>
    </row>
    <row r="2200" spans="8:10" x14ac:dyDescent="0.3">
      <c r="H2200"/>
      <c r="I2200"/>
      <c r="J2200"/>
    </row>
    <row r="2201" spans="8:10" x14ac:dyDescent="0.3">
      <c r="H2201"/>
      <c r="I2201"/>
      <c r="J2201"/>
    </row>
    <row r="2202" spans="8:10" x14ac:dyDescent="0.3">
      <c r="H2202"/>
      <c r="I2202"/>
      <c r="J2202"/>
    </row>
    <row r="2203" spans="8:10" x14ac:dyDescent="0.3">
      <c r="H2203"/>
      <c r="I2203"/>
      <c r="J2203"/>
    </row>
    <row r="2204" spans="8:10" x14ac:dyDescent="0.3">
      <c r="H2204"/>
      <c r="I2204"/>
      <c r="J2204"/>
    </row>
    <row r="2205" spans="8:10" x14ac:dyDescent="0.3">
      <c r="H2205"/>
      <c r="I2205"/>
      <c r="J2205"/>
    </row>
    <row r="2206" spans="8:10" x14ac:dyDescent="0.3">
      <c r="H2206"/>
      <c r="I2206"/>
      <c r="J2206"/>
    </row>
    <row r="2207" spans="8:10" x14ac:dyDescent="0.3">
      <c r="H2207"/>
      <c r="I2207"/>
      <c r="J2207"/>
    </row>
    <row r="2208" spans="8:10" x14ac:dyDescent="0.3">
      <c r="H2208"/>
      <c r="I2208"/>
      <c r="J2208"/>
    </row>
    <row r="2209" spans="8:10" x14ac:dyDescent="0.3">
      <c r="H2209"/>
      <c r="I2209"/>
      <c r="J2209"/>
    </row>
    <row r="2210" spans="8:10" x14ac:dyDescent="0.3">
      <c r="H2210"/>
      <c r="I2210"/>
      <c r="J2210"/>
    </row>
    <row r="2211" spans="8:10" x14ac:dyDescent="0.3">
      <c r="H2211"/>
      <c r="I2211"/>
      <c r="J2211"/>
    </row>
    <row r="2212" spans="8:10" x14ac:dyDescent="0.3">
      <c r="H2212"/>
      <c r="I2212"/>
      <c r="J2212"/>
    </row>
    <row r="2213" spans="8:10" x14ac:dyDescent="0.3">
      <c r="H2213"/>
      <c r="I2213"/>
      <c r="J2213"/>
    </row>
    <row r="2214" spans="8:10" x14ac:dyDescent="0.3">
      <c r="H2214"/>
      <c r="I2214"/>
      <c r="J2214"/>
    </row>
    <row r="2215" spans="8:10" x14ac:dyDescent="0.3">
      <c r="H2215"/>
      <c r="I2215"/>
      <c r="J2215"/>
    </row>
    <row r="2216" spans="8:10" x14ac:dyDescent="0.3">
      <c r="H2216"/>
      <c r="I2216"/>
      <c r="J2216"/>
    </row>
    <row r="2217" spans="8:10" x14ac:dyDescent="0.3">
      <c r="H2217"/>
      <c r="I2217"/>
      <c r="J2217"/>
    </row>
    <row r="2218" spans="8:10" x14ac:dyDescent="0.3">
      <c r="H2218"/>
      <c r="I2218"/>
      <c r="J2218"/>
    </row>
    <row r="2219" spans="8:10" x14ac:dyDescent="0.3">
      <c r="H2219"/>
      <c r="I2219"/>
      <c r="J2219"/>
    </row>
    <row r="2220" spans="8:10" x14ac:dyDescent="0.3">
      <c r="H2220"/>
      <c r="I2220"/>
      <c r="J2220"/>
    </row>
    <row r="2221" spans="8:10" x14ac:dyDescent="0.3">
      <c r="H2221"/>
      <c r="I2221"/>
      <c r="J2221"/>
    </row>
    <row r="2222" spans="8:10" x14ac:dyDescent="0.3">
      <c r="H2222"/>
      <c r="I2222"/>
      <c r="J2222"/>
    </row>
    <row r="2223" spans="8:10" x14ac:dyDescent="0.3">
      <c r="H2223"/>
      <c r="I2223"/>
      <c r="J2223"/>
    </row>
    <row r="2224" spans="8:10" x14ac:dyDescent="0.3">
      <c r="H2224"/>
      <c r="I2224"/>
      <c r="J2224"/>
    </row>
    <row r="2225" spans="8:10" x14ac:dyDescent="0.3">
      <c r="H2225"/>
      <c r="I2225"/>
      <c r="J2225"/>
    </row>
    <row r="2226" spans="8:10" x14ac:dyDescent="0.3">
      <c r="H2226"/>
      <c r="I2226"/>
      <c r="J2226"/>
    </row>
    <row r="2227" spans="8:10" x14ac:dyDescent="0.3">
      <c r="H2227"/>
      <c r="I2227"/>
      <c r="J2227"/>
    </row>
    <row r="2228" spans="8:10" x14ac:dyDescent="0.3">
      <c r="H2228"/>
      <c r="I2228"/>
      <c r="J2228"/>
    </row>
    <row r="2229" spans="8:10" x14ac:dyDescent="0.3">
      <c r="H2229"/>
      <c r="I2229"/>
      <c r="J2229"/>
    </row>
    <row r="2230" spans="8:10" x14ac:dyDescent="0.3">
      <c r="H2230"/>
      <c r="I2230"/>
      <c r="J2230"/>
    </row>
    <row r="2231" spans="8:10" x14ac:dyDescent="0.3">
      <c r="H2231"/>
      <c r="I2231"/>
      <c r="J2231"/>
    </row>
    <row r="2232" spans="8:10" x14ac:dyDescent="0.3">
      <c r="H2232"/>
      <c r="I2232"/>
      <c r="J2232"/>
    </row>
    <row r="2233" spans="8:10" x14ac:dyDescent="0.3">
      <c r="H2233"/>
      <c r="I2233"/>
      <c r="J2233"/>
    </row>
    <row r="2234" spans="8:10" x14ac:dyDescent="0.3">
      <c r="H2234"/>
      <c r="I2234"/>
      <c r="J2234"/>
    </row>
    <row r="2235" spans="8:10" x14ac:dyDescent="0.3">
      <c r="H2235"/>
      <c r="I2235"/>
      <c r="J2235"/>
    </row>
    <row r="2236" spans="8:10" x14ac:dyDescent="0.3">
      <c r="H2236"/>
      <c r="I2236"/>
      <c r="J2236"/>
    </row>
    <row r="2237" spans="8:10" x14ac:dyDescent="0.3">
      <c r="H2237"/>
      <c r="I2237"/>
      <c r="J2237"/>
    </row>
    <row r="2238" spans="8:10" x14ac:dyDescent="0.3">
      <c r="H2238"/>
      <c r="I2238"/>
      <c r="J2238"/>
    </row>
    <row r="2239" spans="8:10" x14ac:dyDescent="0.3">
      <c r="H2239"/>
      <c r="I2239"/>
      <c r="J2239"/>
    </row>
    <row r="2240" spans="8:10" x14ac:dyDescent="0.3">
      <c r="H2240"/>
      <c r="I2240"/>
      <c r="J2240"/>
    </row>
    <row r="2241" spans="8:10" x14ac:dyDescent="0.3">
      <c r="H2241"/>
      <c r="I2241"/>
      <c r="J2241"/>
    </row>
    <row r="2242" spans="8:10" x14ac:dyDescent="0.3">
      <c r="H2242"/>
      <c r="I2242"/>
      <c r="J2242"/>
    </row>
    <row r="2243" spans="8:10" x14ac:dyDescent="0.3">
      <c r="H2243"/>
      <c r="I2243"/>
      <c r="J2243"/>
    </row>
    <row r="2244" spans="8:10" x14ac:dyDescent="0.3">
      <c r="H2244"/>
      <c r="I2244"/>
      <c r="J2244"/>
    </row>
    <row r="2245" spans="8:10" x14ac:dyDescent="0.3">
      <c r="H2245"/>
      <c r="I2245"/>
      <c r="J2245"/>
    </row>
    <row r="2246" spans="8:10" x14ac:dyDescent="0.3">
      <c r="H2246"/>
      <c r="I2246"/>
      <c r="J2246"/>
    </row>
    <row r="2247" spans="8:10" x14ac:dyDescent="0.3">
      <c r="H2247"/>
      <c r="I2247"/>
      <c r="J2247"/>
    </row>
    <row r="2248" spans="8:10" x14ac:dyDescent="0.3">
      <c r="H2248"/>
      <c r="I2248"/>
      <c r="J2248"/>
    </row>
    <row r="2249" spans="8:10" x14ac:dyDescent="0.3">
      <c r="H2249"/>
      <c r="I2249"/>
      <c r="J2249"/>
    </row>
    <row r="2250" spans="8:10" x14ac:dyDescent="0.3">
      <c r="H2250"/>
      <c r="I2250"/>
      <c r="J2250"/>
    </row>
    <row r="2251" spans="8:10" x14ac:dyDescent="0.3">
      <c r="H2251"/>
      <c r="I2251"/>
      <c r="J2251"/>
    </row>
    <row r="2252" spans="8:10" x14ac:dyDescent="0.3">
      <c r="H2252"/>
      <c r="I2252"/>
      <c r="J2252"/>
    </row>
    <row r="2253" spans="8:10" x14ac:dyDescent="0.3">
      <c r="H2253"/>
      <c r="I2253"/>
      <c r="J2253"/>
    </row>
    <row r="2254" spans="8:10" x14ac:dyDescent="0.3">
      <c r="H2254"/>
      <c r="I2254"/>
      <c r="J2254"/>
    </row>
    <row r="2255" spans="8:10" x14ac:dyDescent="0.3">
      <c r="H2255"/>
      <c r="I2255"/>
      <c r="J2255"/>
    </row>
    <row r="2256" spans="8:10" x14ac:dyDescent="0.3">
      <c r="H2256"/>
      <c r="I2256"/>
      <c r="J2256"/>
    </row>
    <row r="2257" spans="8:10" x14ac:dyDescent="0.3">
      <c r="H2257"/>
      <c r="I2257"/>
      <c r="J2257"/>
    </row>
    <row r="2258" spans="8:10" x14ac:dyDescent="0.3">
      <c r="H2258"/>
      <c r="I2258"/>
      <c r="J2258"/>
    </row>
    <row r="2259" spans="8:10" x14ac:dyDescent="0.3">
      <c r="H2259"/>
      <c r="I2259"/>
      <c r="J2259"/>
    </row>
    <row r="2260" spans="8:10" x14ac:dyDescent="0.3">
      <c r="H2260"/>
      <c r="I2260"/>
      <c r="J2260"/>
    </row>
    <row r="2261" spans="8:10" x14ac:dyDescent="0.3">
      <c r="H2261"/>
      <c r="I2261"/>
      <c r="J2261"/>
    </row>
    <row r="2262" spans="8:10" x14ac:dyDescent="0.3">
      <c r="H2262"/>
      <c r="I2262"/>
      <c r="J2262"/>
    </row>
    <row r="2263" spans="8:10" x14ac:dyDescent="0.3">
      <c r="H2263"/>
      <c r="I2263"/>
      <c r="J2263"/>
    </row>
    <row r="2264" spans="8:10" x14ac:dyDescent="0.3">
      <c r="H2264"/>
      <c r="I2264"/>
      <c r="J2264"/>
    </row>
    <row r="2265" spans="8:10" x14ac:dyDescent="0.3">
      <c r="H2265"/>
      <c r="I2265"/>
      <c r="J2265"/>
    </row>
    <row r="2266" spans="8:10" x14ac:dyDescent="0.3">
      <c r="H2266"/>
      <c r="I2266"/>
      <c r="J2266"/>
    </row>
    <row r="2267" spans="8:10" x14ac:dyDescent="0.3">
      <c r="H2267"/>
      <c r="I2267"/>
      <c r="J2267"/>
    </row>
    <row r="2268" spans="8:10" x14ac:dyDescent="0.3">
      <c r="H2268"/>
      <c r="I2268"/>
      <c r="J2268"/>
    </row>
    <row r="2269" spans="8:10" x14ac:dyDescent="0.3">
      <c r="H2269"/>
      <c r="I2269"/>
      <c r="J2269"/>
    </row>
    <row r="2270" spans="8:10" x14ac:dyDescent="0.3">
      <c r="H2270"/>
      <c r="I2270"/>
      <c r="J2270"/>
    </row>
    <row r="2271" spans="8:10" x14ac:dyDescent="0.3">
      <c r="H2271"/>
      <c r="I2271"/>
      <c r="J2271"/>
    </row>
    <row r="2272" spans="8:10" x14ac:dyDescent="0.3">
      <c r="H2272"/>
      <c r="I2272"/>
      <c r="J2272"/>
    </row>
    <row r="2273" spans="8:10" x14ac:dyDescent="0.3">
      <c r="H2273"/>
      <c r="I2273"/>
      <c r="J2273"/>
    </row>
    <row r="2274" spans="8:10" x14ac:dyDescent="0.3">
      <c r="H2274"/>
      <c r="I2274"/>
      <c r="J2274"/>
    </row>
    <row r="2275" spans="8:10" x14ac:dyDescent="0.3">
      <c r="H2275"/>
      <c r="I2275"/>
      <c r="J2275"/>
    </row>
    <row r="2276" spans="8:10" x14ac:dyDescent="0.3">
      <c r="H2276"/>
      <c r="I2276"/>
      <c r="J2276"/>
    </row>
    <row r="2277" spans="8:10" x14ac:dyDescent="0.3">
      <c r="H2277"/>
      <c r="I2277"/>
      <c r="J2277"/>
    </row>
    <row r="2278" spans="8:10" x14ac:dyDescent="0.3">
      <c r="H2278"/>
      <c r="I2278"/>
      <c r="J2278"/>
    </row>
    <row r="2279" spans="8:10" x14ac:dyDescent="0.3">
      <c r="H2279"/>
      <c r="I2279"/>
      <c r="J2279"/>
    </row>
    <row r="2280" spans="8:10" x14ac:dyDescent="0.3">
      <c r="H2280"/>
      <c r="I2280"/>
      <c r="J2280"/>
    </row>
    <row r="2281" spans="8:10" x14ac:dyDescent="0.3">
      <c r="H2281"/>
      <c r="I2281"/>
      <c r="J2281"/>
    </row>
    <row r="2282" spans="8:10" x14ac:dyDescent="0.3">
      <c r="H2282"/>
      <c r="I2282"/>
      <c r="J2282"/>
    </row>
    <row r="2283" spans="8:10" x14ac:dyDescent="0.3">
      <c r="H2283"/>
      <c r="I2283"/>
      <c r="J2283"/>
    </row>
    <row r="2284" spans="8:10" x14ac:dyDescent="0.3">
      <c r="H2284"/>
      <c r="I2284"/>
      <c r="J2284"/>
    </row>
    <row r="2285" spans="8:10" x14ac:dyDescent="0.3">
      <c r="H2285"/>
      <c r="I2285"/>
      <c r="J2285"/>
    </row>
    <row r="2286" spans="8:10" x14ac:dyDescent="0.3">
      <c r="H2286"/>
      <c r="I2286"/>
      <c r="J2286"/>
    </row>
    <row r="2287" spans="8:10" x14ac:dyDescent="0.3">
      <c r="H2287"/>
      <c r="I2287"/>
      <c r="J2287"/>
    </row>
    <row r="2288" spans="8:10" x14ac:dyDescent="0.3">
      <c r="H2288"/>
      <c r="I2288"/>
      <c r="J2288"/>
    </row>
    <row r="2289" spans="8:10" x14ac:dyDescent="0.3">
      <c r="H2289"/>
      <c r="I2289"/>
      <c r="J2289"/>
    </row>
    <row r="2290" spans="8:10" x14ac:dyDescent="0.3">
      <c r="H2290"/>
      <c r="I2290"/>
      <c r="J2290"/>
    </row>
    <row r="2291" spans="8:10" x14ac:dyDescent="0.3">
      <c r="H2291"/>
      <c r="I2291"/>
      <c r="J2291"/>
    </row>
    <row r="2292" spans="8:10" x14ac:dyDescent="0.3">
      <c r="H2292"/>
      <c r="I2292"/>
      <c r="J2292"/>
    </row>
    <row r="2293" spans="8:10" x14ac:dyDescent="0.3">
      <c r="H2293"/>
      <c r="I2293"/>
      <c r="J2293"/>
    </row>
    <row r="2294" spans="8:10" x14ac:dyDescent="0.3">
      <c r="H2294"/>
      <c r="I2294"/>
      <c r="J2294"/>
    </row>
    <row r="2295" spans="8:10" x14ac:dyDescent="0.3">
      <c r="H2295"/>
      <c r="I2295"/>
      <c r="J2295"/>
    </row>
    <row r="2296" spans="8:10" x14ac:dyDescent="0.3">
      <c r="H2296"/>
      <c r="I2296"/>
      <c r="J2296"/>
    </row>
    <row r="2297" spans="8:10" x14ac:dyDescent="0.3">
      <c r="H2297"/>
      <c r="I2297"/>
      <c r="J2297"/>
    </row>
    <row r="2298" spans="8:10" x14ac:dyDescent="0.3">
      <c r="H2298"/>
      <c r="I2298"/>
      <c r="J2298"/>
    </row>
    <row r="2299" spans="8:10" x14ac:dyDescent="0.3">
      <c r="H2299"/>
      <c r="I2299"/>
      <c r="J2299"/>
    </row>
    <row r="2300" spans="8:10" x14ac:dyDescent="0.3">
      <c r="H2300"/>
      <c r="I2300"/>
      <c r="J2300"/>
    </row>
    <row r="2301" spans="8:10" x14ac:dyDescent="0.3">
      <c r="H2301"/>
      <c r="I2301"/>
      <c r="J2301"/>
    </row>
    <row r="2302" spans="8:10" x14ac:dyDescent="0.3">
      <c r="H2302"/>
      <c r="I2302"/>
      <c r="J2302"/>
    </row>
    <row r="2303" spans="8:10" x14ac:dyDescent="0.3">
      <c r="H2303"/>
      <c r="I2303"/>
      <c r="J2303"/>
    </row>
    <row r="2304" spans="8:10" x14ac:dyDescent="0.3">
      <c r="H2304"/>
      <c r="I2304"/>
      <c r="J2304"/>
    </row>
    <row r="2305" spans="8:10" x14ac:dyDescent="0.3">
      <c r="H2305"/>
      <c r="I2305"/>
      <c r="J2305"/>
    </row>
    <row r="2306" spans="8:10" x14ac:dyDescent="0.3">
      <c r="H2306"/>
      <c r="I2306"/>
      <c r="J2306"/>
    </row>
    <row r="2307" spans="8:10" x14ac:dyDescent="0.3">
      <c r="H2307"/>
      <c r="I2307"/>
      <c r="J2307"/>
    </row>
    <row r="2308" spans="8:10" x14ac:dyDescent="0.3">
      <c r="H2308"/>
      <c r="I2308"/>
      <c r="J2308"/>
    </row>
    <row r="2309" spans="8:10" x14ac:dyDescent="0.3">
      <c r="H2309"/>
      <c r="I2309"/>
      <c r="J2309"/>
    </row>
    <row r="2310" spans="8:10" x14ac:dyDescent="0.3">
      <c r="H2310"/>
      <c r="I2310"/>
      <c r="J2310"/>
    </row>
    <row r="2311" spans="8:10" x14ac:dyDescent="0.3">
      <c r="H2311"/>
      <c r="I2311"/>
      <c r="J2311"/>
    </row>
    <row r="2312" spans="8:10" x14ac:dyDescent="0.3">
      <c r="H2312"/>
      <c r="I2312"/>
      <c r="J2312"/>
    </row>
    <row r="2313" spans="8:10" x14ac:dyDescent="0.3">
      <c r="H2313"/>
      <c r="I2313"/>
      <c r="J2313"/>
    </row>
    <row r="2314" spans="8:10" x14ac:dyDescent="0.3">
      <c r="H2314"/>
      <c r="I2314"/>
      <c r="J2314"/>
    </row>
    <row r="2315" spans="8:10" x14ac:dyDescent="0.3">
      <c r="H2315"/>
      <c r="I2315"/>
      <c r="J2315"/>
    </row>
    <row r="2316" spans="8:10" x14ac:dyDescent="0.3">
      <c r="H2316"/>
      <c r="I2316"/>
      <c r="J2316"/>
    </row>
    <row r="2317" spans="8:10" x14ac:dyDescent="0.3">
      <c r="H2317"/>
      <c r="I2317"/>
      <c r="J2317"/>
    </row>
    <row r="2318" spans="8:10" x14ac:dyDescent="0.3">
      <c r="H2318"/>
      <c r="I2318"/>
      <c r="J2318"/>
    </row>
    <row r="2319" spans="8:10" x14ac:dyDescent="0.3">
      <c r="H2319"/>
      <c r="I2319"/>
      <c r="J2319"/>
    </row>
    <row r="2320" spans="8:10" x14ac:dyDescent="0.3">
      <c r="H2320"/>
      <c r="I2320"/>
      <c r="J2320"/>
    </row>
    <row r="2321" spans="8:10" x14ac:dyDescent="0.3">
      <c r="H2321"/>
      <c r="I2321"/>
      <c r="J2321"/>
    </row>
    <row r="2322" spans="8:10" x14ac:dyDescent="0.3">
      <c r="H2322"/>
      <c r="I2322"/>
      <c r="J2322"/>
    </row>
    <row r="2323" spans="8:10" x14ac:dyDescent="0.3">
      <c r="H2323"/>
      <c r="I2323"/>
      <c r="J2323"/>
    </row>
    <row r="2324" spans="8:10" x14ac:dyDescent="0.3">
      <c r="H2324"/>
      <c r="I2324"/>
      <c r="J2324"/>
    </row>
    <row r="2325" spans="8:10" x14ac:dyDescent="0.3">
      <c r="H2325"/>
      <c r="I2325"/>
      <c r="J2325"/>
    </row>
    <row r="2326" spans="8:10" x14ac:dyDescent="0.3">
      <c r="H2326"/>
      <c r="I2326"/>
      <c r="J2326"/>
    </row>
    <row r="2327" spans="8:10" x14ac:dyDescent="0.3">
      <c r="H2327"/>
      <c r="I2327"/>
      <c r="J2327"/>
    </row>
    <row r="2328" spans="8:10" x14ac:dyDescent="0.3">
      <c r="H2328"/>
      <c r="I2328"/>
      <c r="J2328"/>
    </row>
    <row r="2329" spans="8:10" x14ac:dyDescent="0.3">
      <c r="H2329"/>
      <c r="I2329"/>
      <c r="J2329"/>
    </row>
    <row r="2330" spans="8:10" x14ac:dyDescent="0.3">
      <c r="H2330"/>
      <c r="I2330"/>
      <c r="J2330"/>
    </row>
    <row r="2331" spans="8:10" x14ac:dyDescent="0.3">
      <c r="H2331"/>
      <c r="I2331"/>
      <c r="J2331"/>
    </row>
    <row r="2332" spans="8:10" x14ac:dyDescent="0.3">
      <c r="H2332"/>
      <c r="I2332"/>
      <c r="J2332"/>
    </row>
    <row r="2333" spans="8:10" x14ac:dyDescent="0.3">
      <c r="H2333"/>
      <c r="I2333"/>
      <c r="J2333"/>
    </row>
    <row r="2334" spans="8:10" x14ac:dyDescent="0.3">
      <c r="H2334"/>
      <c r="I2334"/>
      <c r="J2334"/>
    </row>
    <row r="2335" spans="8:10" x14ac:dyDescent="0.3">
      <c r="H2335"/>
      <c r="I2335"/>
      <c r="J2335"/>
    </row>
    <row r="2336" spans="8:10" x14ac:dyDescent="0.3">
      <c r="H2336"/>
      <c r="I2336"/>
      <c r="J2336"/>
    </row>
    <row r="2337" spans="8:10" x14ac:dyDescent="0.3">
      <c r="H2337"/>
      <c r="I2337"/>
      <c r="J2337"/>
    </row>
    <row r="2338" spans="8:10" x14ac:dyDescent="0.3">
      <c r="H2338"/>
      <c r="I2338"/>
      <c r="J2338"/>
    </row>
    <row r="2339" spans="8:10" x14ac:dyDescent="0.3">
      <c r="H2339"/>
      <c r="I2339"/>
      <c r="J2339"/>
    </row>
    <row r="2340" spans="8:10" x14ac:dyDescent="0.3">
      <c r="H2340"/>
      <c r="I2340"/>
      <c r="J2340"/>
    </row>
    <row r="2341" spans="8:10" x14ac:dyDescent="0.3">
      <c r="H2341"/>
      <c r="I2341"/>
      <c r="J2341"/>
    </row>
    <row r="2342" spans="8:10" x14ac:dyDescent="0.3">
      <c r="H2342"/>
      <c r="I2342"/>
      <c r="J2342"/>
    </row>
    <row r="2343" spans="8:10" x14ac:dyDescent="0.3">
      <c r="H2343"/>
      <c r="I2343"/>
      <c r="J2343"/>
    </row>
    <row r="2344" spans="8:10" x14ac:dyDescent="0.3">
      <c r="H2344"/>
      <c r="I2344"/>
      <c r="J2344"/>
    </row>
    <row r="2345" spans="8:10" x14ac:dyDescent="0.3">
      <c r="H2345"/>
      <c r="I2345"/>
      <c r="J2345"/>
    </row>
    <row r="2346" spans="8:10" x14ac:dyDescent="0.3">
      <c r="H2346"/>
      <c r="I2346"/>
      <c r="J2346"/>
    </row>
    <row r="2347" spans="8:10" x14ac:dyDescent="0.3">
      <c r="H2347"/>
      <c r="I2347"/>
      <c r="J2347"/>
    </row>
    <row r="2348" spans="8:10" x14ac:dyDescent="0.3">
      <c r="H2348"/>
      <c r="I2348"/>
      <c r="J2348"/>
    </row>
    <row r="2349" spans="8:10" x14ac:dyDescent="0.3">
      <c r="H2349"/>
      <c r="I2349"/>
      <c r="J2349"/>
    </row>
    <row r="2350" spans="8:10" x14ac:dyDescent="0.3">
      <c r="H2350"/>
      <c r="I2350"/>
      <c r="J2350"/>
    </row>
    <row r="2351" spans="8:10" x14ac:dyDescent="0.3">
      <c r="H2351"/>
      <c r="I2351"/>
      <c r="J2351"/>
    </row>
    <row r="2352" spans="8:10" x14ac:dyDescent="0.3">
      <c r="H2352"/>
      <c r="I2352"/>
      <c r="J2352"/>
    </row>
    <row r="2353" spans="8:10" x14ac:dyDescent="0.3">
      <c r="H2353"/>
      <c r="I2353"/>
      <c r="J2353"/>
    </row>
    <row r="2354" spans="8:10" x14ac:dyDescent="0.3">
      <c r="H2354"/>
      <c r="I2354"/>
      <c r="J2354"/>
    </row>
    <row r="2355" spans="8:10" x14ac:dyDescent="0.3">
      <c r="H2355"/>
      <c r="I2355"/>
      <c r="J2355"/>
    </row>
    <row r="2356" spans="8:10" x14ac:dyDescent="0.3">
      <c r="H2356"/>
      <c r="I2356"/>
      <c r="J2356"/>
    </row>
    <row r="2357" spans="8:10" x14ac:dyDescent="0.3">
      <c r="H2357"/>
      <c r="I2357"/>
      <c r="J2357"/>
    </row>
    <row r="2358" spans="8:10" x14ac:dyDescent="0.3">
      <c r="H2358"/>
      <c r="I2358"/>
      <c r="J2358"/>
    </row>
    <row r="2359" spans="8:10" x14ac:dyDescent="0.3">
      <c r="H2359"/>
      <c r="I2359"/>
      <c r="J2359"/>
    </row>
    <row r="2360" spans="8:10" x14ac:dyDescent="0.3">
      <c r="H2360"/>
      <c r="I2360"/>
      <c r="J2360"/>
    </row>
    <row r="2361" spans="8:10" x14ac:dyDescent="0.3">
      <c r="H2361"/>
      <c r="I2361"/>
      <c r="J2361"/>
    </row>
    <row r="2362" spans="8:10" x14ac:dyDescent="0.3">
      <c r="H2362"/>
      <c r="I2362"/>
      <c r="J2362"/>
    </row>
    <row r="2363" spans="8:10" x14ac:dyDescent="0.3">
      <c r="H2363"/>
      <c r="I2363"/>
      <c r="J2363"/>
    </row>
    <row r="2364" spans="8:10" x14ac:dyDescent="0.3">
      <c r="H2364"/>
      <c r="I2364"/>
      <c r="J2364"/>
    </row>
    <row r="2365" spans="8:10" x14ac:dyDescent="0.3">
      <c r="H2365"/>
      <c r="I2365"/>
      <c r="J2365"/>
    </row>
    <row r="2366" spans="8:10" x14ac:dyDescent="0.3">
      <c r="H2366"/>
      <c r="I2366"/>
      <c r="J2366"/>
    </row>
    <row r="2367" spans="8:10" x14ac:dyDescent="0.3">
      <c r="H2367"/>
      <c r="I2367"/>
      <c r="J2367"/>
    </row>
    <row r="2368" spans="8:10" x14ac:dyDescent="0.3">
      <c r="H2368"/>
      <c r="I2368"/>
      <c r="J2368"/>
    </row>
    <row r="2369" spans="8:10" x14ac:dyDescent="0.3">
      <c r="H2369"/>
      <c r="I2369"/>
      <c r="J2369"/>
    </row>
    <row r="2370" spans="8:10" x14ac:dyDescent="0.3">
      <c r="H2370"/>
      <c r="I2370"/>
      <c r="J2370"/>
    </row>
    <row r="2371" spans="8:10" x14ac:dyDescent="0.3">
      <c r="H2371"/>
      <c r="I2371"/>
      <c r="J2371"/>
    </row>
    <row r="2372" spans="8:10" x14ac:dyDescent="0.3">
      <c r="H2372"/>
      <c r="I2372"/>
      <c r="J2372"/>
    </row>
    <row r="2373" spans="8:10" x14ac:dyDescent="0.3">
      <c r="H2373"/>
      <c r="I2373"/>
      <c r="J2373"/>
    </row>
    <row r="2374" spans="8:10" x14ac:dyDescent="0.3">
      <c r="H2374"/>
      <c r="I2374"/>
      <c r="J2374"/>
    </row>
    <row r="2375" spans="8:10" x14ac:dyDescent="0.3">
      <c r="H2375"/>
      <c r="I2375"/>
      <c r="J2375"/>
    </row>
    <row r="2376" spans="8:10" x14ac:dyDescent="0.3">
      <c r="H2376"/>
      <c r="I2376"/>
      <c r="J2376"/>
    </row>
    <row r="2377" spans="8:10" x14ac:dyDescent="0.3">
      <c r="H2377"/>
      <c r="I2377"/>
      <c r="J2377"/>
    </row>
    <row r="2378" spans="8:10" x14ac:dyDescent="0.3">
      <c r="H2378"/>
      <c r="I2378"/>
      <c r="J2378"/>
    </row>
    <row r="2379" spans="8:10" x14ac:dyDescent="0.3">
      <c r="H2379"/>
      <c r="I2379"/>
      <c r="J2379"/>
    </row>
    <row r="2380" spans="8:10" x14ac:dyDescent="0.3">
      <c r="H2380"/>
      <c r="I2380"/>
      <c r="J2380"/>
    </row>
    <row r="2381" spans="8:10" x14ac:dyDescent="0.3">
      <c r="H2381"/>
      <c r="I2381"/>
      <c r="J2381"/>
    </row>
    <row r="2382" spans="8:10" x14ac:dyDescent="0.3">
      <c r="H2382"/>
      <c r="I2382"/>
      <c r="J2382"/>
    </row>
    <row r="2383" spans="8:10" x14ac:dyDescent="0.3">
      <c r="H2383"/>
      <c r="I2383"/>
      <c r="J2383"/>
    </row>
    <row r="2384" spans="8:10" x14ac:dyDescent="0.3">
      <c r="H2384"/>
      <c r="I2384"/>
      <c r="J2384"/>
    </row>
    <row r="2385" spans="8:10" x14ac:dyDescent="0.3">
      <c r="H2385"/>
      <c r="I2385"/>
      <c r="J2385"/>
    </row>
    <row r="2386" spans="8:10" x14ac:dyDescent="0.3">
      <c r="H2386"/>
      <c r="I2386"/>
      <c r="J2386"/>
    </row>
    <row r="2387" spans="8:10" x14ac:dyDescent="0.3">
      <c r="H2387"/>
      <c r="I2387"/>
      <c r="J2387"/>
    </row>
    <row r="2388" spans="8:10" x14ac:dyDescent="0.3">
      <c r="H2388"/>
      <c r="I2388"/>
      <c r="J2388"/>
    </row>
    <row r="2389" spans="8:10" x14ac:dyDescent="0.3">
      <c r="H2389"/>
      <c r="I2389"/>
      <c r="J2389"/>
    </row>
    <row r="2390" spans="8:10" x14ac:dyDescent="0.3">
      <c r="H2390"/>
      <c r="I2390"/>
      <c r="J2390"/>
    </row>
    <row r="2391" spans="8:10" x14ac:dyDescent="0.3">
      <c r="H2391"/>
      <c r="I2391"/>
      <c r="J2391"/>
    </row>
    <row r="2392" spans="8:10" x14ac:dyDescent="0.3">
      <c r="H2392"/>
      <c r="I2392"/>
      <c r="J2392"/>
    </row>
    <row r="2393" spans="8:10" x14ac:dyDescent="0.3">
      <c r="H2393"/>
      <c r="I2393"/>
      <c r="J2393"/>
    </row>
    <row r="2394" spans="8:10" x14ac:dyDescent="0.3">
      <c r="H2394"/>
      <c r="I2394"/>
      <c r="J2394"/>
    </row>
    <row r="2395" spans="8:10" x14ac:dyDescent="0.3">
      <c r="H2395"/>
      <c r="I2395"/>
      <c r="J2395"/>
    </row>
    <row r="2396" spans="8:10" x14ac:dyDescent="0.3">
      <c r="H2396"/>
      <c r="I2396"/>
      <c r="J2396"/>
    </row>
    <row r="2397" spans="8:10" x14ac:dyDescent="0.3">
      <c r="H2397"/>
      <c r="I2397"/>
      <c r="J2397"/>
    </row>
    <row r="2398" spans="8:10" x14ac:dyDescent="0.3">
      <c r="H2398"/>
      <c r="I2398"/>
      <c r="J2398"/>
    </row>
    <row r="2399" spans="8:10" x14ac:dyDescent="0.3">
      <c r="H2399"/>
      <c r="I2399"/>
      <c r="J2399"/>
    </row>
    <row r="2400" spans="8:10" x14ac:dyDescent="0.3">
      <c r="H2400"/>
      <c r="I2400"/>
      <c r="J2400"/>
    </row>
    <row r="2401" spans="8:10" x14ac:dyDescent="0.3">
      <c r="H2401"/>
      <c r="I2401"/>
      <c r="J2401"/>
    </row>
    <row r="2402" spans="8:10" x14ac:dyDescent="0.3">
      <c r="H2402"/>
      <c r="I2402"/>
      <c r="J2402"/>
    </row>
    <row r="2403" spans="8:10" x14ac:dyDescent="0.3">
      <c r="H2403"/>
      <c r="I2403"/>
      <c r="J2403"/>
    </row>
    <row r="2404" spans="8:10" x14ac:dyDescent="0.3">
      <c r="H2404"/>
      <c r="I2404"/>
      <c r="J2404"/>
    </row>
    <row r="2405" spans="8:10" x14ac:dyDescent="0.3">
      <c r="H2405"/>
      <c r="I2405"/>
      <c r="J2405"/>
    </row>
    <row r="2406" spans="8:10" x14ac:dyDescent="0.3">
      <c r="H2406"/>
      <c r="I2406"/>
      <c r="J2406"/>
    </row>
    <row r="2407" spans="8:10" x14ac:dyDescent="0.3">
      <c r="H2407"/>
      <c r="I2407"/>
      <c r="J2407"/>
    </row>
    <row r="2408" spans="8:10" x14ac:dyDescent="0.3">
      <c r="H2408"/>
      <c r="I2408"/>
      <c r="J2408"/>
    </row>
    <row r="2409" spans="8:10" x14ac:dyDescent="0.3">
      <c r="H2409"/>
      <c r="I2409"/>
      <c r="J2409"/>
    </row>
    <row r="2410" spans="8:10" x14ac:dyDescent="0.3">
      <c r="H2410"/>
      <c r="I2410"/>
      <c r="J2410"/>
    </row>
    <row r="2411" spans="8:10" x14ac:dyDescent="0.3">
      <c r="H2411"/>
      <c r="I2411"/>
      <c r="J2411"/>
    </row>
    <row r="2412" spans="8:10" x14ac:dyDescent="0.3">
      <c r="H2412"/>
      <c r="I2412"/>
      <c r="J2412"/>
    </row>
    <row r="2413" spans="8:10" x14ac:dyDescent="0.3">
      <c r="H2413"/>
      <c r="I2413"/>
      <c r="J2413"/>
    </row>
    <row r="2414" spans="8:10" x14ac:dyDescent="0.3">
      <c r="H2414"/>
      <c r="I2414"/>
      <c r="J2414"/>
    </row>
    <row r="2415" spans="8:10" x14ac:dyDescent="0.3">
      <c r="H2415"/>
      <c r="I2415"/>
      <c r="J2415"/>
    </row>
    <row r="2416" spans="8:10" x14ac:dyDescent="0.3">
      <c r="H2416"/>
      <c r="I2416"/>
      <c r="J2416"/>
    </row>
    <row r="2417" spans="8:10" x14ac:dyDescent="0.3">
      <c r="H2417"/>
      <c r="I2417"/>
      <c r="J2417"/>
    </row>
    <row r="2418" spans="8:10" x14ac:dyDescent="0.3">
      <c r="H2418"/>
      <c r="I2418"/>
      <c r="J2418"/>
    </row>
    <row r="2419" spans="8:10" x14ac:dyDescent="0.3">
      <c r="H2419"/>
      <c r="I2419"/>
      <c r="J2419"/>
    </row>
    <row r="2420" spans="8:10" x14ac:dyDescent="0.3">
      <c r="H2420"/>
      <c r="I2420"/>
      <c r="J2420"/>
    </row>
    <row r="2421" spans="8:10" x14ac:dyDescent="0.3">
      <c r="H2421"/>
      <c r="I2421"/>
      <c r="J2421"/>
    </row>
    <row r="2422" spans="8:10" x14ac:dyDescent="0.3">
      <c r="H2422"/>
      <c r="I2422"/>
      <c r="J2422"/>
    </row>
    <row r="2423" spans="8:10" x14ac:dyDescent="0.3">
      <c r="H2423"/>
      <c r="I2423"/>
      <c r="J2423"/>
    </row>
    <row r="2424" spans="8:10" x14ac:dyDescent="0.3">
      <c r="H2424"/>
      <c r="I2424"/>
      <c r="J2424"/>
    </row>
    <row r="2425" spans="8:10" x14ac:dyDescent="0.3">
      <c r="H2425"/>
      <c r="I2425"/>
      <c r="J2425"/>
    </row>
    <row r="2426" spans="8:10" x14ac:dyDescent="0.3">
      <c r="H2426"/>
      <c r="I2426"/>
      <c r="J2426"/>
    </row>
    <row r="2427" spans="8:10" x14ac:dyDescent="0.3">
      <c r="H2427"/>
      <c r="I2427"/>
      <c r="J2427"/>
    </row>
    <row r="2428" spans="8:10" x14ac:dyDescent="0.3">
      <c r="H2428"/>
      <c r="I2428"/>
      <c r="J2428"/>
    </row>
    <row r="2429" spans="8:10" x14ac:dyDescent="0.3">
      <c r="H2429"/>
      <c r="I2429"/>
      <c r="J2429"/>
    </row>
    <row r="2430" spans="8:10" x14ac:dyDescent="0.3">
      <c r="H2430"/>
      <c r="I2430"/>
      <c r="J2430"/>
    </row>
    <row r="2431" spans="8:10" x14ac:dyDescent="0.3">
      <c r="H2431"/>
      <c r="I2431"/>
      <c r="J2431"/>
    </row>
    <row r="2432" spans="8:10" x14ac:dyDescent="0.3">
      <c r="H2432"/>
      <c r="I2432"/>
      <c r="J2432"/>
    </row>
    <row r="2433" spans="8:10" x14ac:dyDescent="0.3">
      <c r="H2433"/>
      <c r="I2433"/>
      <c r="J2433"/>
    </row>
    <row r="2434" spans="8:10" x14ac:dyDescent="0.3">
      <c r="H2434"/>
      <c r="I2434"/>
      <c r="J2434"/>
    </row>
    <row r="2435" spans="8:10" x14ac:dyDescent="0.3">
      <c r="H2435"/>
      <c r="I2435"/>
      <c r="J2435"/>
    </row>
    <row r="2436" spans="8:10" x14ac:dyDescent="0.3">
      <c r="H2436"/>
      <c r="I2436"/>
      <c r="J2436"/>
    </row>
    <row r="2437" spans="8:10" x14ac:dyDescent="0.3">
      <c r="H2437"/>
      <c r="I2437"/>
      <c r="J2437"/>
    </row>
    <row r="2438" spans="8:10" x14ac:dyDescent="0.3">
      <c r="H2438"/>
      <c r="I2438"/>
      <c r="J2438"/>
    </row>
    <row r="2439" spans="8:10" x14ac:dyDescent="0.3">
      <c r="H2439"/>
      <c r="I2439"/>
      <c r="J2439"/>
    </row>
    <row r="2440" spans="8:10" x14ac:dyDescent="0.3">
      <c r="H2440"/>
      <c r="I2440"/>
      <c r="J2440"/>
    </row>
    <row r="2441" spans="8:10" x14ac:dyDescent="0.3">
      <c r="H2441"/>
      <c r="I2441"/>
      <c r="J2441"/>
    </row>
    <row r="2442" spans="8:10" x14ac:dyDescent="0.3">
      <c r="H2442"/>
      <c r="I2442"/>
      <c r="J2442"/>
    </row>
    <row r="2443" spans="8:10" x14ac:dyDescent="0.3">
      <c r="H2443"/>
      <c r="I2443"/>
      <c r="J2443"/>
    </row>
    <row r="2444" spans="8:10" x14ac:dyDescent="0.3">
      <c r="H2444"/>
      <c r="I2444"/>
      <c r="J2444"/>
    </row>
    <row r="2445" spans="8:10" x14ac:dyDescent="0.3">
      <c r="H2445"/>
      <c r="I2445"/>
      <c r="J2445"/>
    </row>
    <row r="2446" spans="8:10" x14ac:dyDescent="0.3">
      <c r="H2446"/>
      <c r="I2446"/>
      <c r="J2446"/>
    </row>
    <row r="2447" spans="8:10" x14ac:dyDescent="0.3">
      <c r="H2447"/>
      <c r="I2447"/>
      <c r="J2447"/>
    </row>
    <row r="2448" spans="8:10" x14ac:dyDescent="0.3">
      <c r="H2448"/>
      <c r="I2448"/>
      <c r="J2448"/>
    </row>
    <row r="2449" spans="8:10" x14ac:dyDescent="0.3">
      <c r="H2449"/>
      <c r="I2449"/>
      <c r="J2449"/>
    </row>
    <row r="2450" spans="8:10" x14ac:dyDescent="0.3">
      <c r="H2450"/>
      <c r="I2450"/>
      <c r="J2450"/>
    </row>
    <row r="2451" spans="8:10" x14ac:dyDescent="0.3">
      <c r="H2451"/>
      <c r="I2451"/>
      <c r="J2451"/>
    </row>
    <row r="2452" spans="8:10" x14ac:dyDescent="0.3">
      <c r="H2452"/>
      <c r="I2452"/>
      <c r="J2452"/>
    </row>
    <row r="2453" spans="8:10" x14ac:dyDescent="0.3">
      <c r="H2453"/>
      <c r="I2453"/>
      <c r="J2453"/>
    </row>
    <row r="2454" spans="8:10" x14ac:dyDescent="0.3">
      <c r="H2454"/>
      <c r="I2454"/>
      <c r="J2454"/>
    </row>
    <row r="2455" spans="8:10" x14ac:dyDescent="0.3">
      <c r="H2455"/>
      <c r="I2455"/>
      <c r="J2455"/>
    </row>
    <row r="2456" spans="8:10" x14ac:dyDescent="0.3">
      <c r="H2456"/>
      <c r="I2456"/>
      <c r="J2456"/>
    </row>
    <row r="2457" spans="8:10" x14ac:dyDescent="0.3">
      <c r="H2457"/>
      <c r="I2457"/>
      <c r="J2457"/>
    </row>
    <row r="2458" spans="8:10" x14ac:dyDescent="0.3">
      <c r="H2458"/>
      <c r="I2458"/>
      <c r="J2458"/>
    </row>
    <row r="2459" spans="8:10" x14ac:dyDescent="0.3">
      <c r="H2459"/>
      <c r="I2459"/>
      <c r="J2459"/>
    </row>
    <row r="2460" spans="8:10" x14ac:dyDescent="0.3">
      <c r="H2460"/>
      <c r="I2460"/>
      <c r="J2460"/>
    </row>
    <row r="2461" spans="8:10" x14ac:dyDescent="0.3">
      <c r="H2461"/>
      <c r="I2461"/>
      <c r="J2461"/>
    </row>
    <row r="2462" spans="8:10" x14ac:dyDescent="0.3">
      <c r="H2462"/>
      <c r="I2462"/>
      <c r="J2462"/>
    </row>
    <row r="2463" spans="8:10" x14ac:dyDescent="0.3">
      <c r="H2463"/>
      <c r="I2463"/>
      <c r="J2463"/>
    </row>
    <row r="2464" spans="8:10" x14ac:dyDescent="0.3">
      <c r="H2464"/>
      <c r="I2464"/>
      <c r="J2464"/>
    </row>
    <row r="2465" spans="8:10" x14ac:dyDescent="0.3">
      <c r="H2465"/>
      <c r="I2465"/>
      <c r="J2465"/>
    </row>
    <row r="2466" spans="8:10" x14ac:dyDescent="0.3">
      <c r="H2466"/>
      <c r="I2466"/>
      <c r="J2466"/>
    </row>
    <row r="2467" spans="8:10" x14ac:dyDescent="0.3">
      <c r="H2467"/>
      <c r="I2467"/>
      <c r="J2467"/>
    </row>
    <row r="2468" spans="8:10" x14ac:dyDescent="0.3">
      <c r="H2468"/>
      <c r="I2468"/>
      <c r="J2468"/>
    </row>
    <row r="2469" spans="8:10" x14ac:dyDescent="0.3">
      <c r="H2469"/>
      <c r="I2469"/>
      <c r="J2469"/>
    </row>
    <row r="2470" spans="8:10" x14ac:dyDescent="0.3">
      <c r="H2470"/>
      <c r="I2470"/>
      <c r="J2470"/>
    </row>
    <row r="2471" spans="8:10" x14ac:dyDescent="0.3">
      <c r="H2471"/>
      <c r="I2471"/>
      <c r="J2471"/>
    </row>
    <row r="2472" spans="8:10" x14ac:dyDescent="0.3">
      <c r="H2472"/>
      <c r="I2472"/>
      <c r="J2472"/>
    </row>
    <row r="2473" spans="8:10" x14ac:dyDescent="0.3">
      <c r="H2473"/>
      <c r="I2473"/>
      <c r="J2473"/>
    </row>
    <row r="2474" spans="8:10" x14ac:dyDescent="0.3">
      <c r="H2474"/>
      <c r="I2474"/>
      <c r="J2474"/>
    </row>
    <row r="2475" spans="8:10" x14ac:dyDescent="0.3">
      <c r="H2475"/>
      <c r="I2475"/>
      <c r="J2475"/>
    </row>
    <row r="2476" spans="8:10" x14ac:dyDescent="0.3">
      <c r="H2476"/>
      <c r="I2476"/>
      <c r="J2476"/>
    </row>
    <row r="2477" spans="8:10" x14ac:dyDescent="0.3">
      <c r="H2477"/>
      <c r="I2477"/>
      <c r="J2477"/>
    </row>
    <row r="2478" spans="8:10" x14ac:dyDescent="0.3">
      <c r="H2478"/>
      <c r="I2478"/>
      <c r="J2478"/>
    </row>
    <row r="2479" spans="8:10" x14ac:dyDescent="0.3">
      <c r="H2479"/>
      <c r="I2479"/>
      <c r="J2479"/>
    </row>
    <row r="2480" spans="8:10" x14ac:dyDescent="0.3">
      <c r="H2480"/>
      <c r="I2480"/>
      <c r="J2480"/>
    </row>
    <row r="2481" spans="8:10" x14ac:dyDescent="0.3">
      <c r="H2481"/>
      <c r="I2481"/>
      <c r="J2481"/>
    </row>
    <row r="2482" spans="8:10" x14ac:dyDescent="0.3">
      <c r="H2482"/>
      <c r="I2482"/>
      <c r="J2482"/>
    </row>
    <row r="2483" spans="8:10" x14ac:dyDescent="0.3">
      <c r="H2483"/>
      <c r="I2483"/>
      <c r="J2483"/>
    </row>
    <row r="2484" spans="8:10" x14ac:dyDescent="0.3">
      <c r="H2484"/>
      <c r="I2484"/>
      <c r="J2484"/>
    </row>
    <row r="2485" spans="8:10" x14ac:dyDescent="0.3">
      <c r="H2485"/>
      <c r="I2485"/>
      <c r="J2485"/>
    </row>
    <row r="2486" spans="8:10" x14ac:dyDescent="0.3">
      <c r="H2486"/>
      <c r="I2486"/>
      <c r="J2486"/>
    </row>
    <row r="2487" spans="8:10" x14ac:dyDescent="0.3">
      <c r="H2487"/>
      <c r="I2487"/>
      <c r="J2487"/>
    </row>
    <row r="2488" spans="8:10" x14ac:dyDescent="0.3">
      <c r="H2488"/>
      <c r="I2488"/>
      <c r="J2488"/>
    </row>
    <row r="2489" spans="8:10" x14ac:dyDescent="0.3">
      <c r="H2489"/>
      <c r="I2489"/>
      <c r="J2489"/>
    </row>
    <row r="2490" spans="8:10" x14ac:dyDescent="0.3">
      <c r="H2490"/>
      <c r="I2490"/>
      <c r="J2490"/>
    </row>
    <row r="2491" spans="8:10" x14ac:dyDescent="0.3">
      <c r="H2491"/>
      <c r="I2491"/>
      <c r="J2491"/>
    </row>
    <row r="2492" spans="8:10" x14ac:dyDescent="0.3">
      <c r="H2492"/>
      <c r="I2492"/>
      <c r="J2492"/>
    </row>
    <row r="2493" spans="8:10" x14ac:dyDescent="0.3">
      <c r="H2493"/>
      <c r="I2493"/>
      <c r="J2493"/>
    </row>
    <row r="2494" spans="8:10" x14ac:dyDescent="0.3">
      <c r="H2494"/>
      <c r="I2494"/>
      <c r="J2494"/>
    </row>
    <row r="2495" spans="8:10" x14ac:dyDescent="0.3">
      <c r="H2495"/>
      <c r="I2495"/>
      <c r="J2495"/>
    </row>
    <row r="2496" spans="8:10" x14ac:dyDescent="0.3">
      <c r="H2496"/>
      <c r="I2496"/>
      <c r="J2496"/>
    </row>
    <row r="2497" spans="8:10" x14ac:dyDescent="0.3">
      <c r="H2497"/>
      <c r="I2497"/>
      <c r="J2497"/>
    </row>
    <row r="2498" spans="8:10" x14ac:dyDescent="0.3">
      <c r="H2498"/>
      <c r="I2498"/>
      <c r="J2498"/>
    </row>
    <row r="2499" spans="8:10" x14ac:dyDescent="0.3">
      <c r="H2499"/>
      <c r="I2499"/>
      <c r="J2499"/>
    </row>
    <row r="2500" spans="8:10" x14ac:dyDescent="0.3">
      <c r="H2500"/>
      <c r="I2500"/>
      <c r="J2500"/>
    </row>
    <row r="2501" spans="8:10" x14ac:dyDescent="0.3">
      <c r="H2501"/>
      <c r="I2501"/>
      <c r="J2501"/>
    </row>
    <row r="2502" spans="8:10" x14ac:dyDescent="0.3">
      <c r="H2502"/>
      <c r="I2502"/>
      <c r="J2502"/>
    </row>
    <row r="2503" spans="8:10" x14ac:dyDescent="0.3">
      <c r="H2503"/>
      <c r="I2503"/>
      <c r="J2503"/>
    </row>
    <row r="2504" spans="8:10" x14ac:dyDescent="0.3">
      <c r="H2504"/>
      <c r="I2504"/>
      <c r="J2504"/>
    </row>
    <row r="2505" spans="8:10" x14ac:dyDescent="0.3">
      <c r="H2505"/>
      <c r="I2505"/>
      <c r="J2505"/>
    </row>
    <row r="2506" spans="8:10" x14ac:dyDescent="0.3">
      <c r="H2506"/>
      <c r="I2506"/>
      <c r="J2506"/>
    </row>
    <row r="2507" spans="8:10" x14ac:dyDescent="0.3">
      <c r="H2507"/>
      <c r="I2507"/>
      <c r="J2507"/>
    </row>
    <row r="2508" spans="8:10" x14ac:dyDescent="0.3">
      <c r="H2508"/>
      <c r="I2508"/>
      <c r="J2508"/>
    </row>
    <row r="2509" spans="8:10" x14ac:dyDescent="0.3">
      <c r="H2509"/>
      <c r="I2509"/>
      <c r="J2509"/>
    </row>
    <row r="2510" spans="8:10" x14ac:dyDescent="0.3">
      <c r="H2510"/>
      <c r="I2510"/>
      <c r="J2510"/>
    </row>
    <row r="2511" spans="8:10" x14ac:dyDescent="0.3">
      <c r="H2511"/>
      <c r="I2511"/>
      <c r="J2511"/>
    </row>
    <row r="2512" spans="8:10" x14ac:dyDescent="0.3">
      <c r="H2512"/>
      <c r="I2512"/>
      <c r="J2512"/>
    </row>
    <row r="2513" spans="8:10" x14ac:dyDescent="0.3">
      <c r="H2513"/>
      <c r="I2513"/>
      <c r="J2513"/>
    </row>
    <row r="2514" spans="8:10" x14ac:dyDescent="0.3">
      <c r="H2514"/>
      <c r="I2514"/>
      <c r="J2514"/>
    </row>
    <row r="2515" spans="8:10" x14ac:dyDescent="0.3">
      <c r="H2515"/>
      <c r="I2515"/>
      <c r="J2515"/>
    </row>
    <row r="2516" spans="8:10" x14ac:dyDescent="0.3">
      <c r="H2516"/>
      <c r="I2516"/>
      <c r="J2516"/>
    </row>
    <row r="2517" spans="8:10" x14ac:dyDescent="0.3">
      <c r="H2517"/>
      <c r="I2517"/>
      <c r="J2517"/>
    </row>
    <row r="2518" spans="8:10" x14ac:dyDescent="0.3">
      <c r="H2518"/>
      <c r="I2518"/>
      <c r="J2518"/>
    </row>
    <row r="2519" spans="8:10" x14ac:dyDescent="0.3">
      <c r="H2519"/>
      <c r="I2519"/>
      <c r="J2519"/>
    </row>
    <row r="2520" spans="8:10" x14ac:dyDescent="0.3">
      <c r="H2520"/>
      <c r="I2520"/>
      <c r="J2520"/>
    </row>
    <row r="2521" spans="8:10" x14ac:dyDescent="0.3">
      <c r="H2521"/>
      <c r="I2521"/>
      <c r="J2521"/>
    </row>
    <row r="2522" spans="8:10" x14ac:dyDescent="0.3">
      <c r="H2522"/>
      <c r="I2522"/>
      <c r="J2522"/>
    </row>
    <row r="2523" spans="8:10" x14ac:dyDescent="0.3">
      <c r="H2523"/>
      <c r="I2523"/>
      <c r="J2523"/>
    </row>
    <row r="2524" spans="8:10" x14ac:dyDescent="0.3">
      <c r="H2524"/>
      <c r="I2524"/>
      <c r="J2524"/>
    </row>
    <row r="2525" spans="8:10" x14ac:dyDescent="0.3">
      <c r="H2525"/>
      <c r="I2525"/>
      <c r="J2525"/>
    </row>
    <row r="2526" spans="8:10" x14ac:dyDescent="0.3">
      <c r="H2526"/>
      <c r="I2526"/>
      <c r="J2526"/>
    </row>
    <row r="2527" spans="8:10" x14ac:dyDescent="0.3">
      <c r="H2527"/>
      <c r="I2527"/>
      <c r="J2527"/>
    </row>
    <row r="2528" spans="8:10" x14ac:dyDescent="0.3">
      <c r="H2528"/>
      <c r="I2528"/>
      <c r="J2528"/>
    </row>
    <row r="2529" spans="8:10" x14ac:dyDescent="0.3">
      <c r="H2529"/>
      <c r="I2529"/>
      <c r="J2529"/>
    </row>
    <row r="2530" spans="8:10" x14ac:dyDescent="0.3">
      <c r="H2530"/>
      <c r="I2530"/>
      <c r="J2530"/>
    </row>
    <row r="2531" spans="8:10" x14ac:dyDescent="0.3">
      <c r="H2531"/>
      <c r="I2531"/>
      <c r="J2531"/>
    </row>
    <row r="2532" spans="8:10" x14ac:dyDescent="0.3">
      <c r="H2532"/>
      <c r="I2532"/>
      <c r="J2532"/>
    </row>
    <row r="2533" spans="8:10" x14ac:dyDescent="0.3">
      <c r="H2533"/>
      <c r="I2533"/>
      <c r="J2533"/>
    </row>
    <row r="2534" spans="8:10" x14ac:dyDescent="0.3">
      <c r="H2534"/>
      <c r="I2534"/>
      <c r="J2534"/>
    </row>
    <row r="2535" spans="8:10" x14ac:dyDescent="0.3">
      <c r="H2535"/>
      <c r="I2535"/>
      <c r="J2535"/>
    </row>
    <row r="2536" spans="8:10" x14ac:dyDescent="0.3">
      <c r="H2536"/>
      <c r="I2536"/>
      <c r="J2536"/>
    </row>
    <row r="2537" spans="8:10" x14ac:dyDescent="0.3">
      <c r="H2537"/>
      <c r="I2537"/>
      <c r="J2537"/>
    </row>
    <row r="2538" spans="8:10" x14ac:dyDescent="0.3">
      <c r="H2538"/>
      <c r="I2538"/>
      <c r="J2538"/>
    </row>
    <row r="2539" spans="8:10" x14ac:dyDescent="0.3">
      <c r="H2539"/>
      <c r="I2539"/>
      <c r="J2539"/>
    </row>
    <row r="2540" spans="8:10" x14ac:dyDescent="0.3">
      <c r="H2540"/>
      <c r="I2540"/>
      <c r="J2540"/>
    </row>
    <row r="2541" spans="8:10" x14ac:dyDescent="0.3">
      <c r="H2541"/>
      <c r="I2541"/>
      <c r="J2541"/>
    </row>
    <row r="2542" spans="8:10" x14ac:dyDescent="0.3">
      <c r="H2542"/>
      <c r="I2542"/>
      <c r="J2542"/>
    </row>
    <row r="2543" spans="8:10" x14ac:dyDescent="0.3">
      <c r="H2543"/>
      <c r="I2543"/>
      <c r="J2543"/>
    </row>
    <row r="2544" spans="8:10" x14ac:dyDescent="0.3">
      <c r="H2544"/>
      <c r="I2544"/>
      <c r="J2544"/>
    </row>
    <row r="2545" spans="8:10" x14ac:dyDescent="0.3">
      <c r="H2545"/>
      <c r="I2545"/>
      <c r="J2545"/>
    </row>
    <row r="2546" spans="8:10" x14ac:dyDescent="0.3">
      <c r="H2546"/>
      <c r="I2546"/>
      <c r="J2546"/>
    </row>
    <row r="2547" spans="8:10" x14ac:dyDescent="0.3">
      <c r="H2547"/>
      <c r="I2547"/>
      <c r="J2547"/>
    </row>
    <row r="2548" spans="8:10" x14ac:dyDescent="0.3">
      <c r="H2548"/>
      <c r="I2548"/>
      <c r="J2548"/>
    </row>
    <row r="2549" spans="8:10" x14ac:dyDescent="0.3">
      <c r="H2549"/>
      <c r="I2549"/>
      <c r="J2549"/>
    </row>
    <row r="2550" spans="8:10" x14ac:dyDescent="0.3">
      <c r="H2550"/>
      <c r="I2550"/>
      <c r="J2550"/>
    </row>
    <row r="2551" spans="8:10" x14ac:dyDescent="0.3">
      <c r="H2551"/>
      <c r="I2551"/>
      <c r="J2551"/>
    </row>
    <row r="2552" spans="8:10" x14ac:dyDescent="0.3">
      <c r="H2552"/>
      <c r="I2552"/>
      <c r="J2552"/>
    </row>
    <row r="2553" spans="8:10" x14ac:dyDescent="0.3">
      <c r="H2553"/>
      <c r="I2553"/>
      <c r="J2553"/>
    </row>
    <row r="2554" spans="8:10" x14ac:dyDescent="0.3">
      <c r="H2554"/>
      <c r="I2554"/>
      <c r="J2554"/>
    </row>
    <row r="2555" spans="8:10" x14ac:dyDescent="0.3">
      <c r="H2555"/>
      <c r="I2555"/>
      <c r="J2555"/>
    </row>
    <row r="2556" spans="8:10" x14ac:dyDescent="0.3">
      <c r="H2556"/>
      <c r="I2556"/>
      <c r="J2556"/>
    </row>
    <row r="2557" spans="8:10" x14ac:dyDescent="0.3">
      <c r="H2557"/>
      <c r="I2557"/>
      <c r="J2557"/>
    </row>
    <row r="2558" spans="8:10" x14ac:dyDescent="0.3">
      <c r="H2558"/>
      <c r="I2558"/>
      <c r="J2558"/>
    </row>
    <row r="2559" spans="8:10" x14ac:dyDescent="0.3">
      <c r="H2559"/>
      <c r="I2559"/>
      <c r="J2559"/>
    </row>
    <row r="2560" spans="8:10" x14ac:dyDescent="0.3">
      <c r="H2560"/>
      <c r="I2560"/>
      <c r="J2560"/>
    </row>
    <row r="2561" spans="8:10" x14ac:dyDescent="0.3">
      <c r="H2561"/>
      <c r="I2561"/>
      <c r="J2561"/>
    </row>
    <row r="2562" spans="8:10" x14ac:dyDescent="0.3">
      <c r="H2562"/>
      <c r="I2562"/>
      <c r="J2562"/>
    </row>
    <row r="2563" spans="8:10" x14ac:dyDescent="0.3">
      <c r="H2563"/>
      <c r="I2563"/>
      <c r="J2563"/>
    </row>
    <row r="2564" spans="8:10" x14ac:dyDescent="0.3">
      <c r="H2564"/>
      <c r="I2564"/>
      <c r="J2564"/>
    </row>
    <row r="2565" spans="8:10" x14ac:dyDescent="0.3">
      <c r="H2565"/>
      <c r="I2565"/>
      <c r="J2565"/>
    </row>
    <row r="2566" spans="8:10" x14ac:dyDescent="0.3">
      <c r="H2566"/>
      <c r="I2566"/>
      <c r="J2566"/>
    </row>
    <row r="2567" spans="8:10" x14ac:dyDescent="0.3">
      <c r="H2567"/>
      <c r="I2567"/>
      <c r="J2567"/>
    </row>
    <row r="2568" spans="8:10" x14ac:dyDescent="0.3">
      <c r="H2568"/>
      <c r="I2568"/>
      <c r="J2568"/>
    </row>
    <row r="2569" spans="8:10" x14ac:dyDescent="0.3">
      <c r="H2569"/>
      <c r="I2569"/>
      <c r="J2569"/>
    </row>
    <row r="2570" spans="8:10" x14ac:dyDescent="0.3">
      <c r="H2570"/>
      <c r="I2570"/>
      <c r="J2570"/>
    </row>
    <row r="2571" spans="8:10" x14ac:dyDescent="0.3">
      <c r="H2571"/>
      <c r="I2571"/>
      <c r="J2571"/>
    </row>
    <row r="2572" spans="8:10" x14ac:dyDescent="0.3">
      <c r="H2572"/>
      <c r="I2572"/>
      <c r="J2572"/>
    </row>
    <row r="2573" spans="8:10" x14ac:dyDescent="0.3">
      <c r="H2573"/>
      <c r="I2573"/>
      <c r="J2573"/>
    </row>
    <row r="2574" spans="8:10" x14ac:dyDescent="0.3">
      <c r="H2574"/>
      <c r="I2574"/>
      <c r="J2574"/>
    </row>
    <row r="2575" spans="8:10" x14ac:dyDescent="0.3">
      <c r="H2575"/>
      <c r="I2575"/>
      <c r="J2575"/>
    </row>
    <row r="2576" spans="8:10" x14ac:dyDescent="0.3">
      <c r="H2576"/>
      <c r="I2576"/>
      <c r="J2576"/>
    </row>
    <row r="2577" spans="8:10" x14ac:dyDescent="0.3">
      <c r="H2577"/>
      <c r="I2577"/>
      <c r="J2577"/>
    </row>
    <row r="2578" spans="8:10" x14ac:dyDescent="0.3">
      <c r="H2578"/>
      <c r="I2578"/>
      <c r="J2578"/>
    </row>
    <row r="2579" spans="8:10" x14ac:dyDescent="0.3">
      <c r="H2579"/>
      <c r="I2579"/>
      <c r="J2579"/>
    </row>
    <row r="2580" spans="8:10" x14ac:dyDescent="0.3">
      <c r="H2580"/>
      <c r="I2580"/>
      <c r="J2580"/>
    </row>
    <row r="2581" spans="8:10" x14ac:dyDescent="0.3">
      <c r="H2581"/>
      <c r="I2581"/>
      <c r="J2581"/>
    </row>
    <row r="2582" spans="8:10" x14ac:dyDescent="0.3">
      <c r="H2582"/>
      <c r="I2582"/>
      <c r="J2582"/>
    </row>
  </sheetData>
  <mergeCells count="15">
    <mergeCell ref="D7:I7"/>
    <mergeCell ref="D9:I9"/>
    <mergeCell ref="A29:B29"/>
    <mergeCell ref="J1:M1"/>
    <mergeCell ref="A1:B1"/>
    <mergeCell ref="D2:I2"/>
    <mergeCell ref="D6:I6"/>
    <mergeCell ref="D3:I3"/>
    <mergeCell ref="D4:I4"/>
    <mergeCell ref="D5:I5"/>
    <mergeCell ref="D1:I1"/>
    <mergeCell ref="J2:M2"/>
    <mergeCell ref="J3:M3"/>
    <mergeCell ref="J5:M5"/>
    <mergeCell ref="J4:M4"/>
  </mergeCells>
  <phoneticPr fontId="23" type="noConversion"/>
  <dataValidations count="6">
    <dataValidation type="list" allowBlank="1" showInputMessage="1" showErrorMessage="1" sqref="B7 B9" xr:uid="{9784CA3D-BE08-4D97-8E35-06D291FFFF8C}">
      <formula1>$U$2:$U$6</formula1>
    </dataValidation>
    <dataValidation type="list" allowBlank="1" showInputMessage="1" showErrorMessage="1" sqref="B8" xr:uid="{6689045D-1B5B-4AA7-BC1A-6B2FDE916EEA}">
      <formula1>$X$2:$X$4</formula1>
    </dataValidation>
    <dataValidation type="list" allowBlank="1" showInputMessage="1" showErrorMessage="1" sqref="B6" xr:uid="{40195D3D-A901-443A-921B-87D7F4589DCE}">
      <formula1>$Z$2:$Z$3</formula1>
    </dataValidation>
    <dataValidation allowBlank="1" showInputMessage="1" showErrorMessage="1" sqref="B10" xr:uid="{75E14306-2B3E-451D-B7B0-534DE0154663}"/>
    <dataValidation type="list" allowBlank="1" showInputMessage="1" showErrorMessage="1" sqref="B5" xr:uid="{FB175BF8-4D4F-4B6A-9C4F-FFF3A44BD8FC}">
      <formula1>$Q$2:$Q$7</formula1>
    </dataValidation>
    <dataValidation type="list" allowBlank="1" showInputMessage="1" showErrorMessage="1" sqref="H19:J98" xr:uid="{00C8E60A-87DB-48E3-843B-49FD01012643}">
      <formula1>$S$2:$S$4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F4642-EAEE-48B3-9E0C-A769823DF92D}">
  <sheetPr codeName="Sheet3">
    <pageSetUpPr autoPageBreaks="0"/>
  </sheetPr>
  <dimension ref="A1:K431"/>
  <sheetViews>
    <sheetView showGridLines="0" zoomScale="98" zoomScaleNormal="98" workbookViewId="0">
      <selection activeCell="A422" sqref="A422:XFD431"/>
    </sheetView>
  </sheetViews>
  <sheetFormatPr defaultColWidth="9.109375" defaultRowHeight="13.8" x14ac:dyDescent="0.25"/>
  <cols>
    <col min="1" max="1" width="20" style="9" customWidth="1"/>
    <col min="2" max="2" width="21.5546875" style="10" customWidth="1"/>
    <col min="3" max="5" width="12.6640625" style="9" customWidth="1"/>
    <col min="6" max="6" width="35.88671875" style="9" customWidth="1"/>
    <col min="7" max="8" width="8.6640625" style="9" customWidth="1"/>
    <col min="9" max="10" width="9.109375" style="6"/>
    <col min="11" max="11" width="16.33203125" style="6" bestFit="1" customWidth="1"/>
    <col min="12" max="16384" width="9.109375" style="6"/>
  </cols>
  <sheetData>
    <row r="1" spans="1:11" ht="40.200000000000003" customHeight="1" x14ac:dyDescent="0.65">
      <c r="A1" s="90" t="s">
        <v>37</v>
      </c>
      <c r="B1" s="90"/>
      <c r="C1" s="90"/>
      <c r="D1" s="90"/>
      <c r="E1" s="90"/>
      <c r="F1" s="90"/>
      <c r="G1" s="90"/>
      <c r="H1" s="90"/>
    </row>
    <row r="2" spans="1:11" ht="30" customHeight="1" x14ac:dyDescent="0.25">
      <c r="A2" s="91">
        <v>44067</v>
      </c>
      <c r="B2" s="92"/>
      <c r="C2" s="92"/>
      <c r="D2" s="92"/>
      <c r="E2" s="92"/>
      <c r="F2" s="92"/>
      <c r="G2" s="92"/>
      <c r="H2" s="93"/>
      <c r="K2" s="4"/>
    </row>
    <row r="3" spans="1:11" s="7" customFormat="1" ht="30" customHeight="1" x14ac:dyDescent="0.3">
      <c r="A3" s="70" t="s">
        <v>38</v>
      </c>
      <c r="B3" s="70" t="s">
        <v>39</v>
      </c>
      <c r="C3" s="70" t="s">
        <v>40</v>
      </c>
      <c r="D3" s="70" t="s">
        <v>41</v>
      </c>
      <c r="E3" s="70" t="s">
        <v>42</v>
      </c>
      <c r="F3" s="70" t="s">
        <v>43</v>
      </c>
      <c r="G3" s="70" t="s">
        <v>44</v>
      </c>
      <c r="H3" s="70" t="s">
        <v>45</v>
      </c>
      <c r="K3" s="4"/>
    </row>
    <row r="4" spans="1:11" ht="30" customHeight="1" x14ac:dyDescent="0.25">
      <c r="A4" s="2" t="s">
        <v>3</v>
      </c>
      <c r="B4" s="2" t="s">
        <v>254</v>
      </c>
      <c r="C4" s="8"/>
      <c r="D4" s="8"/>
      <c r="E4" s="8"/>
      <c r="F4" s="8"/>
      <c r="G4" s="8"/>
      <c r="H4" s="8"/>
      <c r="K4" s="4"/>
    </row>
    <row r="5" spans="1:11" ht="30" customHeight="1" x14ac:dyDescent="0.25">
      <c r="A5" s="2" t="s">
        <v>6</v>
      </c>
      <c r="B5" s="2" t="s">
        <v>257</v>
      </c>
      <c r="C5" s="8"/>
      <c r="D5" s="8"/>
      <c r="E5" s="8"/>
      <c r="F5" s="8"/>
      <c r="G5" s="8"/>
      <c r="H5" s="8"/>
      <c r="K5" s="4"/>
    </row>
    <row r="6" spans="1:11" ht="30" customHeight="1" x14ac:dyDescent="0.25">
      <c r="A6" s="2" t="s">
        <v>9</v>
      </c>
      <c r="B6" s="2" t="s">
        <v>255</v>
      </c>
      <c r="C6" s="8"/>
      <c r="D6" s="8"/>
      <c r="E6" s="8"/>
      <c r="F6" s="8"/>
      <c r="G6" s="8"/>
      <c r="H6" s="8"/>
      <c r="K6" s="4"/>
    </row>
    <row r="7" spans="1:11" ht="30" customHeight="1" x14ac:dyDescent="0.25">
      <c r="A7" s="2" t="s">
        <v>12</v>
      </c>
      <c r="B7" s="2" t="s">
        <v>258</v>
      </c>
      <c r="C7" s="8"/>
      <c r="D7" s="8"/>
      <c r="E7" s="8"/>
      <c r="F7" s="8"/>
      <c r="G7" s="8"/>
      <c r="H7" s="8"/>
      <c r="K7" s="4"/>
    </row>
    <row r="8" spans="1:11" ht="30" customHeight="1" x14ac:dyDescent="0.25">
      <c r="A8" s="2" t="s">
        <v>14</v>
      </c>
      <c r="B8" s="2" t="s">
        <v>256</v>
      </c>
      <c r="C8" s="8"/>
      <c r="D8" s="8"/>
      <c r="E8" s="8"/>
      <c r="F8" s="8"/>
      <c r="G8" s="8"/>
      <c r="H8" s="8"/>
      <c r="K8" s="4"/>
    </row>
    <row r="9" spans="1:11" ht="30" customHeight="1" x14ac:dyDescent="0.25">
      <c r="A9" s="2" t="s">
        <v>16</v>
      </c>
      <c r="B9" s="2" t="s">
        <v>271</v>
      </c>
      <c r="C9" s="8"/>
      <c r="D9" s="8"/>
      <c r="E9" s="8"/>
      <c r="F9" s="8"/>
      <c r="G9" s="8"/>
      <c r="H9" s="8"/>
      <c r="K9" s="4"/>
    </row>
    <row r="10" spans="1:11" ht="30" customHeight="1" x14ac:dyDescent="0.25">
      <c r="A10" s="2" t="s">
        <v>18</v>
      </c>
      <c r="B10" s="2" t="s">
        <v>259</v>
      </c>
      <c r="C10" s="8"/>
      <c r="D10" s="8"/>
      <c r="E10" s="8"/>
      <c r="F10" s="8"/>
      <c r="G10" s="8"/>
      <c r="H10" s="8"/>
      <c r="K10" s="4"/>
    </row>
    <row r="11" spans="1:11" ht="30" customHeight="1" x14ac:dyDescent="0.25">
      <c r="A11" s="2" t="s">
        <v>71</v>
      </c>
      <c r="B11" s="2" t="s">
        <v>260</v>
      </c>
      <c r="C11" s="8"/>
      <c r="D11" s="8"/>
      <c r="E11" s="8"/>
      <c r="F11" s="8"/>
      <c r="G11" s="8"/>
      <c r="H11" s="8"/>
      <c r="K11" s="4"/>
    </row>
    <row r="12" spans="1:11" ht="30" customHeight="1" x14ac:dyDescent="0.25">
      <c r="A12" s="91">
        <v>44069</v>
      </c>
      <c r="B12" s="92"/>
      <c r="C12" s="92"/>
      <c r="D12" s="92"/>
      <c r="E12" s="92"/>
      <c r="F12" s="92"/>
      <c r="G12" s="92"/>
      <c r="H12" s="93"/>
      <c r="K12" s="4"/>
    </row>
    <row r="13" spans="1:11" s="7" customFormat="1" ht="30" customHeight="1" x14ac:dyDescent="0.3">
      <c r="A13" s="70" t="s">
        <v>38</v>
      </c>
      <c r="B13" s="70" t="s">
        <v>39</v>
      </c>
      <c r="C13" s="70" t="s">
        <v>40</v>
      </c>
      <c r="D13" s="70" t="s">
        <v>41</v>
      </c>
      <c r="E13" s="70" t="s">
        <v>42</v>
      </c>
      <c r="F13" s="70" t="s">
        <v>43</v>
      </c>
      <c r="G13" s="70" t="s">
        <v>44</v>
      </c>
      <c r="H13" s="70" t="s">
        <v>45</v>
      </c>
      <c r="K13" s="4"/>
    </row>
    <row r="14" spans="1:11" ht="30" customHeight="1" x14ac:dyDescent="0.25">
      <c r="A14" s="2" t="s">
        <v>3</v>
      </c>
      <c r="B14" s="2" t="s">
        <v>261</v>
      </c>
      <c r="C14" s="8"/>
      <c r="D14" s="8"/>
      <c r="E14" s="8"/>
      <c r="F14" s="8"/>
      <c r="G14" s="8"/>
      <c r="H14" s="8"/>
      <c r="K14" s="4"/>
    </row>
    <row r="15" spans="1:11" ht="30" customHeight="1" x14ac:dyDescent="0.25">
      <c r="A15" s="2" t="s">
        <v>6</v>
      </c>
      <c r="B15" s="2" t="s">
        <v>272</v>
      </c>
      <c r="C15" s="8"/>
      <c r="D15" s="8"/>
      <c r="E15" s="8"/>
      <c r="F15" s="8"/>
      <c r="G15" s="8"/>
      <c r="H15" s="8"/>
      <c r="K15" s="4"/>
    </row>
    <row r="16" spans="1:11" ht="30" customHeight="1" x14ac:dyDescent="0.25">
      <c r="A16" s="2" t="s">
        <v>9</v>
      </c>
      <c r="B16" s="2" t="s">
        <v>262</v>
      </c>
      <c r="C16" s="8"/>
      <c r="D16" s="8"/>
      <c r="E16" s="8"/>
      <c r="F16" s="8"/>
      <c r="G16" s="8"/>
      <c r="H16" s="8"/>
      <c r="K16" s="4"/>
    </row>
    <row r="17" spans="1:11" ht="30" customHeight="1" x14ac:dyDescent="0.25">
      <c r="A17" s="2" t="s">
        <v>12</v>
      </c>
      <c r="B17" s="2" t="s">
        <v>273</v>
      </c>
      <c r="C17" s="8"/>
      <c r="D17" s="8"/>
      <c r="E17" s="8"/>
      <c r="F17" s="8"/>
      <c r="G17" s="8"/>
      <c r="H17" s="8"/>
      <c r="K17" s="4"/>
    </row>
    <row r="18" spans="1:11" ht="30" customHeight="1" x14ac:dyDescent="0.25">
      <c r="A18" s="2" t="s">
        <v>14</v>
      </c>
      <c r="B18" s="2" t="s">
        <v>263</v>
      </c>
      <c r="C18" s="8"/>
      <c r="D18" s="8"/>
      <c r="E18" s="8"/>
      <c r="F18" s="8"/>
      <c r="G18" s="8"/>
      <c r="H18" s="8"/>
      <c r="K18" s="4"/>
    </row>
    <row r="19" spans="1:11" ht="30" customHeight="1" x14ac:dyDescent="0.25">
      <c r="A19" s="2" t="s">
        <v>16</v>
      </c>
      <c r="B19" s="2" t="s">
        <v>274</v>
      </c>
      <c r="C19" s="8"/>
      <c r="D19" s="8"/>
      <c r="E19" s="8"/>
      <c r="F19" s="8"/>
      <c r="G19" s="8"/>
      <c r="H19" s="8"/>
      <c r="K19" s="4"/>
    </row>
    <row r="20" spans="1:11" ht="30" customHeight="1" x14ac:dyDescent="0.25">
      <c r="A20" s="2" t="s">
        <v>18</v>
      </c>
      <c r="B20" s="2" t="s">
        <v>264</v>
      </c>
      <c r="C20" s="8"/>
      <c r="D20" s="8"/>
      <c r="E20" s="8"/>
      <c r="F20" s="8"/>
      <c r="G20" s="8"/>
      <c r="H20" s="8"/>
      <c r="K20" s="4"/>
    </row>
    <row r="21" spans="1:11" ht="30" customHeight="1" x14ac:dyDescent="0.25">
      <c r="A21" s="2" t="s">
        <v>71</v>
      </c>
      <c r="B21" s="2" t="s">
        <v>265</v>
      </c>
      <c r="C21" s="8"/>
      <c r="D21" s="8"/>
      <c r="E21" s="8"/>
      <c r="F21" s="8"/>
      <c r="G21" s="8"/>
      <c r="H21" s="8"/>
      <c r="K21" s="4"/>
    </row>
    <row r="22" spans="1:11" ht="30" customHeight="1" x14ac:dyDescent="0.25">
      <c r="A22" s="91">
        <v>44071</v>
      </c>
      <c r="B22" s="92"/>
      <c r="C22" s="92"/>
      <c r="D22" s="92"/>
      <c r="E22" s="92"/>
      <c r="F22" s="92"/>
      <c r="G22" s="92"/>
      <c r="H22" s="93"/>
      <c r="K22" s="4"/>
    </row>
    <row r="23" spans="1:11" s="7" customFormat="1" ht="30" customHeight="1" x14ac:dyDescent="0.3">
      <c r="A23" s="70" t="s">
        <v>38</v>
      </c>
      <c r="B23" s="70" t="s">
        <v>39</v>
      </c>
      <c r="C23" s="70" t="s">
        <v>40</v>
      </c>
      <c r="D23" s="70" t="s">
        <v>41</v>
      </c>
      <c r="E23" s="70" t="s">
        <v>42</v>
      </c>
      <c r="F23" s="70" t="s">
        <v>43</v>
      </c>
      <c r="G23" s="70" t="s">
        <v>44</v>
      </c>
      <c r="H23" s="70" t="s">
        <v>45</v>
      </c>
      <c r="K23" s="4"/>
    </row>
    <row r="24" spans="1:11" ht="30" customHeight="1" x14ac:dyDescent="0.25">
      <c r="A24" s="2" t="s">
        <v>3</v>
      </c>
      <c r="B24" s="2" t="s">
        <v>266</v>
      </c>
      <c r="C24" s="8"/>
      <c r="D24" s="8"/>
      <c r="E24" s="8"/>
      <c r="F24" s="8"/>
      <c r="G24" s="8"/>
      <c r="H24" s="8"/>
      <c r="K24" s="4"/>
    </row>
    <row r="25" spans="1:11" ht="30" customHeight="1" x14ac:dyDescent="0.25">
      <c r="A25" s="2" t="s">
        <v>6</v>
      </c>
      <c r="B25" s="2" t="s">
        <v>275</v>
      </c>
      <c r="C25" s="8"/>
      <c r="D25" s="8"/>
      <c r="E25" s="8"/>
      <c r="F25" s="8"/>
      <c r="G25" s="8"/>
      <c r="H25" s="8"/>
      <c r="K25" s="4"/>
    </row>
    <row r="26" spans="1:11" ht="30" customHeight="1" x14ac:dyDescent="0.25">
      <c r="A26" s="2" t="s">
        <v>9</v>
      </c>
      <c r="B26" s="2" t="s">
        <v>267</v>
      </c>
      <c r="C26" s="8"/>
      <c r="D26" s="8"/>
      <c r="E26" s="8"/>
      <c r="F26" s="8"/>
      <c r="G26" s="8"/>
      <c r="H26" s="8"/>
      <c r="K26" s="4"/>
    </row>
    <row r="27" spans="1:11" ht="30" customHeight="1" x14ac:dyDescent="0.25">
      <c r="A27" s="2" t="s">
        <v>12</v>
      </c>
      <c r="B27" s="2" t="s">
        <v>276</v>
      </c>
      <c r="C27" s="8"/>
      <c r="D27" s="8"/>
      <c r="E27" s="8"/>
      <c r="F27" s="8"/>
      <c r="G27" s="8"/>
      <c r="H27" s="8"/>
      <c r="K27" s="4"/>
    </row>
    <row r="28" spans="1:11" ht="30" customHeight="1" x14ac:dyDescent="0.25">
      <c r="A28" s="2" t="s">
        <v>14</v>
      </c>
      <c r="B28" s="2" t="s">
        <v>268</v>
      </c>
      <c r="C28" s="8"/>
      <c r="D28" s="8"/>
      <c r="E28" s="8"/>
      <c r="F28" s="8"/>
      <c r="G28" s="8"/>
      <c r="H28" s="8"/>
      <c r="K28" s="4"/>
    </row>
    <row r="29" spans="1:11" ht="30" customHeight="1" x14ac:dyDescent="0.25">
      <c r="A29" s="2" t="s">
        <v>16</v>
      </c>
      <c r="B29" s="2" t="s">
        <v>277</v>
      </c>
      <c r="C29" s="8"/>
      <c r="D29" s="8"/>
      <c r="E29" s="8"/>
      <c r="F29" s="8"/>
      <c r="G29" s="8"/>
      <c r="H29" s="8"/>
      <c r="K29" s="4"/>
    </row>
    <row r="30" spans="1:11" ht="30" customHeight="1" x14ac:dyDescent="0.25">
      <c r="A30" s="2" t="s">
        <v>18</v>
      </c>
      <c r="B30" s="2" t="s">
        <v>269</v>
      </c>
      <c r="C30" s="8"/>
      <c r="D30" s="8"/>
      <c r="E30" s="8"/>
      <c r="F30" s="8"/>
      <c r="G30" s="8"/>
      <c r="H30" s="8"/>
      <c r="K30" s="4"/>
    </row>
    <row r="31" spans="1:11" ht="30" customHeight="1" x14ac:dyDescent="0.25">
      <c r="A31" s="2" t="s">
        <v>71</v>
      </c>
      <c r="B31" s="2" t="s">
        <v>270</v>
      </c>
      <c r="C31" s="8"/>
      <c r="D31" s="8"/>
      <c r="E31" s="8"/>
      <c r="F31" s="8"/>
      <c r="G31" s="8"/>
      <c r="H31" s="8"/>
      <c r="K31" s="4"/>
    </row>
    <row r="32" spans="1:11" ht="30" customHeight="1" x14ac:dyDescent="0.25">
      <c r="A32" s="91">
        <v>44074</v>
      </c>
      <c r="B32" s="92"/>
      <c r="C32" s="92"/>
      <c r="D32" s="92"/>
      <c r="E32" s="92"/>
      <c r="F32" s="92"/>
      <c r="G32" s="92"/>
      <c r="H32" s="93"/>
      <c r="K32" s="4"/>
    </row>
    <row r="33" spans="1:11" s="7" customFormat="1" ht="30" customHeight="1" x14ac:dyDescent="0.3">
      <c r="A33" s="70" t="s">
        <v>38</v>
      </c>
      <c r="B33" s="70" t="s">
        <v>39</v>
      </c>
      <c r="C33" s="70" t="s">
        <v>40</v>
      </c>
      <c r="D33" s="70" t="s">
        <v>41</v>
      </c>
      <c r="E33" s="70" t="s">
        <v>42</v>
      </c>
      <c r="F33" s="70" t="s">
        <v>43</v>
      </c>
      <c r="G33" s="70" t="s">
        <v>44</v>
      </c>
      <c r="H33" s="70" t="s">
        <v>45</v>
      </c>
      <c r="K33" s="4"/>
    </row>
    <row r="34" spans="1:11" ht="30" customHeight="1" x14ac:dyDescent="0.25">
      <c r="A34" s="2" t="s">
        <v>3</v>
      </c>
      <c r="B34" s="2" t="s">
        <v>278</v>
      </c>
      <c r="C34" s="8"/>
      <c r="D34" s="8"/>
      <c r="E34" s="8"/>
      <c r="F34" s="8"/>
      <c r="G34" s="8"/>
      <c r="H34" s="8"/>
      <c r="K34" s="4"/>
    </row>
    <row r="35" spans="1:11" ht="30" customHeight="1" x14ac:dyDescent="0.25">
      <c r="A35" s="2" t="s">
        <v>6</v>
      </c>
      <c r="B35" s="2" t="s">
        <v>279</v>
      </c>
      <c r="C35" s="8"/>
      <c r="D35" s="8"/>
      <c r="E35" s="8"/>
      <c r="F35" s="8"/>
      <c r="G35" s="8"/>
      <c r="H35" s="8"/>
      <c r="K35" s="4"/>
    </row>
    <row r="36" spans="1:11" ht="30" customHeight="1" x14ac:dyDescent="0.25">
      <c r="A36" s="2" t="s">
        <v>9</v>
      </c>
      <c r="B36" s="2" t="s">
        <v>284</v>
      </c>
      <c r="C36" s="8"/>
      <c r="D36" s="8"/>
      <c r="E36" s="8"/>
      <c r="F36" s="8"/>
      <c r="G36" s="8"/>
      <c r="H36" s="8"/>
      <c r="K36" s="4"/>
    </row>
    <row r="37" spans="1:11" ht="30" customHeight="1" x14ac:dyDescent="0.25">
      <c r="A37" s="2" t="s">
        <v>12</v>
      </c>
      <c r="B37" s="2" t="s">
        <v>280</v>
      </c>
      <c r="C37" s="8"/>
      <c r="D37" s="8"/>
      <c r="E37" s="8"/>
      <c r="F37" s="8"/>
      <c r="G37" s="8"/>
      <c r="H37" s="8"/>
      <c r="K37" s="4"/>
    </row>
    <row r="38" spans="1:11" ht="30" customHeight="1" x14ac:dyDescent="0.25">
      <c r="A38" s="2" t="s">
        <v>14</v>
      </c>
      <c r="B38" s="2" t="s">
        <v>285</v>
      </c>
      <c r="C38" s="8"/>
      <c r="D38" s="8"/>
      <c r="E38" s="8"/>
      <c r="F38" s="8"/>
      <c r="G38" s="8"/>
      <c r="H38" s="8"/>
      <c r="K38" s="4"/>
    </row>
    <row r="39" spans="1:11" ht="30" customHeight="1" x14ac:dyDescent="0.25">
      <c r="A39" s="2" t="s">
        <v>16</v>
      </c>
      <c r="B39" s="2" t="s">
        <v>281</v>
      </c>
      <c r="C39" s="8"/>
      <c r="D39" s="8"/>
      <c r="E39" s="8"/>
      <c r="F39" s="8"/>
      <c r="G39" s="8"/>
      <c r="H39" s="8"/>
      <c r="K39" s="4"/>
    </row>
    <row r="40" spans="1:11" ht="30" customHeight="1" x14ac:dyDescent="0.25">
      <c r="A40" s="2" t="s">
        <v>18</v>
      </c>
      <c r="B40" s="2" t="s">
        <v>287</v>
      </c>
      <c r="C40" s="8"/>
      <c r="D40" s="8"/>
      <c r="E40" s="8"/>
      <c r="F40" s="8"/>
      <c r="G40" s="8"/>
      <c r="H40" s="8"/>
      <c r="K40" s="4"/>
    </row>
    <row r="41" spans="1:11" ht="30" customHeight="1" x14ac:dyDescent="0.25">
      <c r="A41" s="2" t="s">
        <v>71</v>
      </c>
      <c r="B41" s="2" t="s">
        <v>282</v>
      </c>
      <c r="C41" s="8"/>
      <c r="D41" s="8"/>
      <c r="E41" s="8"/>
      <c r="F41" s="8"/>
      <c r="G41" s="8"/>
      <c r="H41" s="8"/>
      <c r="K41" s="4"/>
    </row>
    <row r="42" spans="1:11" ht="30" customHeight="1" x14ac:dyDescent="0.25">
      <c r="A42" s="91">
        <v>44076</v>
      </c>
      <c r="B42" s="92"/>
      <c r="C42" s="92"/>
      <c r="D42" s="92"/>
      <c r="E42" s="92"/>
      <c r="F42" s="92"/>
      <c r="G42" s="92"/>
      <c r="H42" s="93"/>
      <c r="K42" s="4"/>
    </row>
    <row r="43" spans="1:11" s="7" customFormat="1" ht="30" customHeight="1" x14ac:dyDescent="0.3">
      <c r="A43" s="70" t="s">
        <v>38</v>
      </c>
      <c r="B43" s="70" t="s">
        <v>39</v>
      </c>
      <c r="C43" s="70" t="s">
        <v>40</v>
      </c>
      <c r="D43" s="70" t="s">
        <v>41</v>
      </c>
      <c r="E43" s="70" t="s">
        <v>42</v>
      </c>
      <c r="F43" s="70" t="s">
        <v>43</v>
      </c>
      <c r="G43" s="70" t="s">
        <v>44</v>
      </c>
      <c r="H43" s="70" t="s">
        <v>45</v>
      </c>
      <c r="K43" s="4"/>
    </row>
    <row r="44" spans="1:11" ht="30" customHeight="1" x14ac:dyDescent="0.25">
      <c r="A44" s="2" t="s">
        <v>3</v>
      </c>
      <c r="B44" s="2" t="s">
        <v>283</v>
      </c>
      <c r="C44" s="8"/>
      <c r="D44" s="8"/>
      <c r="E44" s="8"/>
      <c r="F44" s="8"/>
      <c r="G44" s="8"/>
      <c r="H44" s="8"/>
      <c r="K44" s="4"/>
    </row>
    <row r="45" spans="1:11" ht="30" customHeight="1" x14ac:dyDescent="0.25">
      <c r="A45" s="2" t="s">
        <v>6</v>
      </c>
      <c r="B45" s="2" t="s">
        <v>286</v>
      </c>
      <c r="C45" s="8"/>
      <c r="D45" s="8"/>
      <c r="E45" s="8"/>
      <c r="F45" s="8"/>
      <c r="G45" s="8"/>
      <c r="H45" s="8"/>
      <c r="K45" s="4"/>
    </row>
    <row r="46" spans="1:11" ht="30" customHeight="1" x14ac:dyDescent="0.25">
      <c r="A46" s="2" t="s">
        <v>9</v>
      </c>
      <c r="B46" s="2" t="s">
        <v>288</v>
      </c>
      <c r="C46" s="8"/>
      <c r="D46" s="8"/>
      <c r="E46" s="8"/>
      <c r="F46" s="8"/>
      <c r="G46" s="8"/>
      <c r="H46" s="8"/>
      <c r="K46" s="4"/>
    </row>
    <row r="47" spans="1:11" ht="30" customHeight="1" x14ac:dyDescent="0.25">
      <c r="A47" s="2" t="s">
        <v>12</v>
      </c>
      <c r="B47" s="2" t="s">
        <v>295</v>
      </c>
      <c r="C47" s="8"/>
      <c r="D47" s="8"/>
      <c r="E47" s="8"/>
      <c r="F47" s="8"/>
      <c r="G47" s="8"/>
      <c r="H47" s="8"/>
      <c r="K47" s="4"/>
    </row>
    <row r="48" spans="1:11" ht="30" customHeight="1" x14ac:dyDescent="0.25">
      <c r="A48" s="2" t="s">
        <v>14</v>
      </c>
      <c r="B48" s="2" t="s">
        <v>289</v>
      </c>
      <c r="C48" s="8"/>
      <c r="D48" s="8"/>
      <c r="E48" s="8"/>
      <c r="F48" s="8"/>
      <c r="G48" s="8"/>
      <c r="H48" s="8"/>
      <c r="K48" s="4"/>
    </row>
    <row r="49" spans="1:11" ht="30" customHeight="1" x14ac:dyDescent="0.25">
      <c r="A49" s="2" t="s">
        <v>16</v>
      </c>
      <c r="B49" s="2" t="s">
        <v>296</v>
      </c>
      <c r="C49" s="8"/>
      <c r="D49" s="8"/>
      <c r="E49" s="8"/>
      <c r="F49" s="8"/>
      <c r="G49" s="8"/>
      <c r="H49" s="8"/>
      <c r="K49" s="4"/>
    </row>
    <row r="50" spans="1:11" ht="30" customHeight="1" x14ac:dyDescent="0.25">
      <c r="A50" s="2" t="s">
        <v>18</v>
      </c>
      <c r="B50" s="2" t="s">
        <v>290</v>
      </c>
      <c r="C50" s="8"/>
      <c r="D50" s="8"/>
      <c r="E50" s="8"/>
      <c r="F50" s="8"/>
      <c r="G50" s="8"/>
      <c r="H50" s="8"/>
      <c r="K50" s="4"/>
    </row>
    <row r="51" spans="1:11" ht="30" customHeight="1" x14ac:dyDescent="0.25">
      <c r="A51" s="2" t="s">
        <v>71</v>
      </c>
      <c r="B51" s="2" t="s">
        <v>291</v>
      </c>
      <c r="C51" s="8"/>
      <c r="D51" s="8"/>
      <c r="E51" s="8"/>
      <c r="F51" s="8"/>
      <c r="G51" s="8"/>
      <c r="H51" s="8"/>
      <c r="K51" s="4"/>
    </row>
    <row r="52" spans="1:11" ht="30" customHeight="1" x14ac:dyDescent="0.25">
      <c r="A52" s="91">
        <v>44078</v>
      </c>
      <c r="B52" s="92"/>
      <c r="C52" s="92"/>
      <c r="D52" s="92"/>
      <c r="E52" s="92"/>
      <c r="F52" s="92"/>
      <c r="G52" s="92"/>
      <c r="H52" s="93"/>
      <c r="K52" s="4"/>
    </row>
    <row r="53" spans="1:11" s="7" customFormat="1" ht="30" customHeight="1" x14ac:dyDescent="0.3">
      <c r="A53" s="70" t="s">
        <v>38</v>
      </c>
      <c r="B53" s="70" t="s">
        <v>39</v>
      </c>
      <c r="C53" s="70" t="s">
        <v>40</v>
      </c>
      <c r="D53" s="70" t="s">
        <v>41</v>
      </c>
      <c r="E53" s="70" t="s">
        <v>42</v>
      </c>
      <c r="F53" s="70" t="s">
        <v>43</v>
      </c>
      <c r="G53" s="70" t="s">
        <v>44</v>
      </c>
      <c r="H53" s="70" t="s">
        <v>45</v>
      </c>
      <c r="K53" s="4"/>
    </row>
    <row r="54" spans="1:11" ht="30" customHeight="1" x14ac:dyDescent="0.25">
      <c r="A54" s="2" t="s">
        <v>3</v>
      </c>
      <c r="B54" s="2" t="s">
        <v>292</v>
      </c>
      <c r="C54" s="8"/>
      <c r="D54" s="8"/>
      <c r="E54" s="8"/>
      <c r="F54" s="8"/>
      <c r="G54" s="8"/>
      <c r="H54" s="8"/>
      <c r="K54" s="4"/>
    </row>
    <row r="55" spans="1:11" ht="30" customHeight="1" x14ac:dyDescent="0.25">
      <c r="A55" s="2" t="s">
        <v>6</v>
      </c>
      <c r="B55" s="2" t="s">
        <v>297</v>
      </c>
      <c r="C55" s="8"/>
      <c r="D55" s="8"/>
      <c r="E55" s="8"/>
      <c r="F55" s="8"/>
      <c r="G55" s="8"/>
      <c r="H55" s="8"/>
      <c r="K55" s="4"/>
    </row>
    <row r="56" spans="1:11" ht="30" customHeight="1" x14ac:dyDescent="0.25">
      <c r="A56" s="2" t="s">
        <v>9</v>
      </c>
      <c r="B56" s="2" t="s">
        <v>293</v>
      </c>
      <c r="C56" s="8"/>
      <c r="D56" s="8"/>
      <c r="E56" s="8"/>
      <c r="F56" s="8"/>
      <c r="G56" s="8"/>
      <c r="H56" s="8"/>
      <c r="K56" s="4"/>
    </row>
    <row r="57" spans="1:11" ht="30" customHeight="1" x14ac:dyDescent="0.25">
      <c r="A57" s="2" t="s">
        <v>12</v>
      </c>
      <c r="B57" s="2" t="s">
        <v>303</v>
      </c>
      <c r="C57" s="8"/>
      <c r="D57" s="8"/>
      <c r="E57" s="8"/>
      <c r="F57" s="8"/>
      <c r="G57" s="8"/>
      <c r="H57" s="8"/>
      <c r="K57" s="4"/>
    </row>
    <row r="58" spans="1:11" ht="30" customHeight="1" x14ac:dyDescent="0.25">
      <c r="A58" s="2" t="s">
        <v>14</v>
      </c>
      <c r="B58" s="2" t="s">
        <v>294</v>
      </c>
      <c r="C58" s="8"/>
      <c r="D58" s="8"/>
      <c r="E58" s="8"/>
      <c r="F58" s="8"/>
      <c r="G58" s="8"/>
      <c r="H58" s="8"/>
      <c r="K58" s="4"/>
    </row>
    <row r="59" spans="1:11" ht="30" customHeight="1" x14ac:dyDescent="0.25">
      <c r="A59" s="2" t="s">
        <v>16</v>
      </c>
      <c r="B59" s="2" t="s">
        <v>304</v>
      </c>
      <c r="C59" s="8"/>
      <c r="D59" s="8"/>
      <c r="E59" s="8"/>
      <c r="F59" s="8"/>
      <c r="G59" s="8"/>
      <c r="H59" s="8"/>
      <c r="K59" s="4"/>
    </row>
    <row r="60" spans="1:11" ht="30" customHeight="1" x14ac:dyDescent="0.25">
      <c r="A60" s="2" t="s">
        <v>18</v>
      </c>
      <c r="B60" s="2" t="s">
        <v>298</v>
      </c>
      <c r="C60" s="8"/>
      <c r="D60" s="8"/>
      <c r="E60" s="8"/>
      <c r="F60" s="8"/>
      <c r="G60" s="8"/>
      <c r="H60" s="8"/>
      <c r="K60" s="4"/>
    </row>
    <row r="61" spans="1:11" ht="30" customHeight="1" x14ac:dyDescent="0.25">
      <c r="A61" s="2" t="s">
        <v>71</v>
      </c>
      <c r="B61" s="2" t="s">
        <v>299</v>
      </c>
      <c r="C61" s="8"/>
      <c r="D61" s="8"/>
      <c r="E61" s="8"/>
      <c r="F61" s="8"/>
      <c r="G61" s="8"/>
      <c r="H61" s="8"/>
      <c r="K61" s="4"/>
    </row>
    <row r="62" spans="1:11" ht="30" customHeight="1" x14ac:dyDescent="0.25">
      <c r="A62" s="91">
        <v>44083</v>
      </c>
      <c r="B62" s="92"/>
      <c r="C62" s="92"/>
      <c r="D62" s="92"/>
      <c r="E62" s="92"/>
      <c r="F62" s="92"/>
      <c r="G62" s="92"/>
      <c r="H62" s="93"/>
      <c r="K62" s="4"/>
    </row>
    <row r="63" spans="1:11" s="7" customFormat="1" ht="30" customHeight="1" x14ac:dyDescent="0.3">
      <c r="A63" s="70" t="s">
        <v>38</v>
      </c>
      <c r="B63" s="70" t="s">
        <v>39</v>
      </c>
      <c r="C63" s="70" t="s">
        <v>40</v>
      </c>
      <c r="D63" s="70" t="s">
        <v>41</v>
      </c>
      <c r="E63" s="70" t="s">
        <v>42</v>
      </c>
      <c r="F63" s="70" t="s">
        <v>43</v>
      </c>
      <c r="G63" s="70" t="s">
        <v>44</v>
      </c>
      <c r="H63" s="70" t="s">
        <v>45</v>
      </c>
      <c r="K63" s="4"/>
    </row>
    <row r="64" spans="1:11" ht="30" customHeight="1" x14ac:dyDescent="0.25">
      <c r="A64" s="2" t="s">
        <v>3</v>
      </c>
      <c r="B64" s="2" t="s">
        <v>300</v>
      </c>
      <c r="C64" s="8"/>
      <c r="D64" s="8"/>
      <c r="E64" s="8"/>
      <c r="F64" s="8"/>
      <c r="G64" s="8"/>
      <c r="H64" s="8"/>
      <c r="K64" s="4"/>
    </row>
    <row r="65" spans="1:11" ht="30" customHeight="1" x14ac:dyDescent="0.25">
      <c r="A65" s="2" t="s">
        <v>6</v>
      </c>
      <c r="B65" s="2" t="s">
        <v>305</v>
      </c>
      <c r="C65" s="8"/>
      <c r="D65" s="8"/>
      <c r="E65" s="8"/>
      <c r="F65" s="8"/>
      <c r="G65" s="8"/>
      <c r="H65" s="8"/>
      <c r="K65" s="4"/>
    </row>
    <row r="66" spans="1:11" ht="30" customHeight="1" x14ac:dyDescent="0.25">
      <c r="A66" s="2" t="s">
        <v>9</v>
      </c>
      <c r="B66" s="2" t="s">
        <v>301</v>
      </c>
      <c r="C66" s="8"/>
      <c r="D66" s="8"/>
      <c r="E66" s="8"/>
      <c r="F66" s="8"/>
      <c r="G66" s="8"/>
      <c r="H66" s="8"/>
      <c r="K66" s="4"/>
    </row>
    <row r="67" spans="1:11" ht="30" customHeight="1" x14ac:dyDescent="0.25">
      <c r="A67" s="2" t="s">
        <v>12</v>
      </c>
      <c r="B67" s="2" t="s">
        <v>306</v>
      </c>
      <c r="C67" s="8"/>
      <c r="D67" s="8"/>
      <c r="E67" s="8"/>
      <c r="F67" s="8"/>
      <c r="G67" s="8"/>
      <c r="H67" s="8"/>
      <c r="K67" s="4"/>
    </row>
    <row r="68" spans="1:11" ht="30" customHeight="1" x14ac:dyDescent="0.25">
      <c r="A68" s="2" t="s">
        <v>14</v>
      </c>
      <c r="B68" s="2" t="s">
        <v>302</v>
      </c>
      <c r="C68" s="8"/>
      <c r="D68" s="8"/>
      <c r="E68" s="8"/>
      <c r="F68" s="8"/>
      <c r="G68" s="8"/>
      <c r="H68" s="8"/>
      <c r="K68" s="4"/>
    </row>
    <row r="69" spans="1:11" ht="30" customHeight="1" x14ac:dyDescent="0.25">
      <c r="A69" s="2" t="s">
        <v>16</v>
      </c>
      <c r="B69" s="2" t="s">
        <v>307</v>
      </c>
      <c r="C69" s="8"/>
      <c r="D69" s="8"/>
      <c r="E69" s="8"/>
      <c r="F69" s="8"/>
      <c r="G69" s="8"/>
      <c r="H69" s="8"/>
      <c r="K69" s="4"/>
    </row>
    <row r="70" spans="1:11" ht="30" customHeight="1" x14ac:dyDescent="0.25">
      <c r="A70" s="2" t="s">
        <v>18</v>
      </c>
      <c r="B70" s="2" t="s">
        <v>309</v>
      </c>
      <c r="C70" s="8"/>
      <c r="D70" s="8"/>
      <c r="E70" s="8"/>
      <c r="F70" s="8"/>
      <c r="G70" s="8"/>
      <c r="H70" s="8"/>
      <c r="K70" s="4"/>
    </row>
    <row r="71" spans="1:11" ht="30" customHeight="1" x14ac:dyDescent="0.25">
      <c r="A71" s="2" t="s">
        <v>71</v>
      </c>
      <c r="B71" s="2" t="s">
        <v>308</v>
      </c>
      <c r="C71" s="8"/>
      <c r="D71" s="8"/>
      <c r="E71" s="8"/>
      <c r="F71" s="8"/>
      <c r="G71" s="8"/>
      <c r="H71" s="8"/>
      <c r="K71" s="4"/>
    </row>
    <row r="72" spans="1:11" ht="30" customHeight="1" x14ac:dyDescent="0.25">
      <c r="A72" s="91">
        <v>44085</v>
      </c>
      <c r="B72" s="92"/>
      <c r="C72" s="92"/>
      <c r="D72" s="92"/>
      <c r="E72" s="92"/>
      <c r="F72" s="92"/>
      <c r="G72" s="92"/>
      <c r="H72" s="93"/>
      <c r="K72" s="4"/>
    </row>
    <row r="73" spans="1:11" s="7" customFormat="1" ht="30" customHeight="1" x14ac:dyDescent="0.3">
      <c r="A73" s="70" t="s">
        <v>38</v>
      </c>
      <c r="B73" s="70" t="s">
        <v>39</v>
      </c>
      <c r="C73" s="70" t="s">
        <v>40</v>
      </c>
      <c r="D73" s="70" t="s">
        <v>41</v>
      </c>
      <c r="E73" s="70" t="s">
        <v>42</v>
      </c>
      <c r="F73" s="70" t="s">
        <v>43</v>
      </c>
      <c r="G73" s="70" t="s">
        <v>44</v>
      </c>
      <c r="H73" s="70" t="s">
        <v>45</v>
      </c>
      <c r="K73" s="4"/>
    </row>
    <row r="74" spans="1:11" ht="30" customHeight="1" x14ac:dyDescent="0.25">
      <c r="A74" s="2" t="s">
        <v>3</v>
      </c>
      <c r="B74" s="2" t="s">
        <v>310</v>
      </c>
      <c r="C74" s="8"/>
      <c r="D74" s="8"/>
      <c r="E74" s="8"/>
      <c r="F74" s="8"/>
      <c r="G74" s="8"/>
      <c r="H74" s="8"/>
      <c r="K74" s="4"/>
    </row>
    <row r="75" spans="1:11" ht="30" customHeight="1" x14ac:dyDescent="0.25">
      <c r="A75" s="2" t="s">
        <v>6</v>
      </c>
      <c r="B75" s="2" t="s">
        <v>312</v>
      </c>
      <c r="C75" s="8"/>
      <c r="D75" s="8"/>
      <c r="E75" s="8"/>
      <c r="F75" s="8"/>
      <c r="G75" s="8"/>
      <c r="H75" s="8"/>
      <c r="K75" s="4"/>
    </row>
    <row r="76" spans="1:11" ht="30" customHeight="1" x14ac:dyDescent="0.25">
      <c r="A76" s="2" t="s">
        <v>9</v>
      </c>
      <c r="B76" s="2" t="s">
        <v>311</v>
      </c>
      <c r="C76" s="8"/>
      <c r="D76" s="8"/>
      <c r="E76" s="8"/>
      <c r="F76" s="8"/>
      <c r="G76" s="8"/>
      <c r="H76" s="8"/>
      <c r="K76" s="4"/>
    </row>
    <row r="77" spans="1:11" ht="30" customHeight="1" x14ac:dyDescent="0.25">
      <c r="A77" s="2" t="s">
        <v>12</v>
      </c>
      <c r="B77" s="2" t="s">
        <v>313</v>
      </c>
      <c r="C77" s="8"/>
      <c r="D77" s="8"/>
      <c r="E77" s="8"/>
      <c r="F77" s="8"/>
      <c r="G77" s="8"/>
      <c r="H77" s="8"/>
      <c r="K77" s="4"/>
    </row>
    <row r="78" spans="1:11" ht="30" customHeight="1" x14ac:dyDescent="0.25">
      <c r="A78" s="2" t="s">
        <v>14</v>
      </c>
      <c r="B78" s="2" t="s">
        <v>315</v>
      </c>
      <c r="C78" s="8"/>
      <c r="D78" s="8"/>
      <c r="E78" s="8"/>
      <c r="F78" s="8"/>
      <c r="G78" s="8"/>
      <c r="H78" s="8"/>
      <c r="K78" s="4"/>
    </row>
    <row r="79" spans="1:11" ht="30" customHeight="1" x14ac:dyDescent="0.25">
      <c r="A79" s="2" t="s">
        <v>16</v>
      </c>
      <c r="B79" s="2" t="s">
        <v>314</v>
      </c>
      <c r="C79" s="8"/>
      <c r="D79" s="8"/>
      <c r="E79" s="8"/>
      <c r="F79" s="8"/>
      <c r="G79" s="8"/>
      <c r="H79" s="8"/>
      <c r="K79" s="4"/>
    </row>
    <row r="80" spans="1:11" ht="30" customHeight="1" x14ac:dyDescent="0.25">
      <c r="A80" s="2" t="s">
        <v>18</v>
      </c>
      <c r="B80" s="2" t="s">
        <v>316</v>
      </c>
      <c r="C80" s="8"/>
      <c r="D80" s="8"/>
      <c r="E80" s="8"/>
      <c r="F80" s="8"/>
      <c r="G80" s="8"/>
      <c r="H80" s="8"/>
      <c r="K80" s="4"/>
    </row>
    <row r="81" spans="1:11" ht="30" customHeight="1" x14ac:dyDescent="0.25">
      <c r="A81" s="2" t="s">
        <v>71</v>
      </c>
      <c r="B81" s="2" t="s">
        <v>317</v>
      </c>
      <c r="C81" s="8"/>
      <c r="D81" s="8"/>
      <c r="E81" s="8"/>
      <c r="F81" s="8"/>
      <c r="G81" s="8"/>
      <c r="H81" s="8"/>
      <c r="K81" s="4"/>
    </row>
    <row r="82" spans="1:11" ht="30" customHeight="1" x14ac:dyDescent="0.25">
      <c r="A82" s="91">
        <v>44088</v>
      </c>
      <c r="B82" s="92"/>
      <c r="C82" s="92"/>
      <c r="D82" s="92"/>
      <c r="E82" s="92"/>
      <c r="F82" s="92"/>
      <c r="G82" s="92"/>
      <c r="H82" s="93"/>
      <c r="K82" s="4"/>
    </row>
    <row r="83" spans="1:11" s="7" customFormat="1" ht="30" customHeight="1" x14ac:dyDescent="0.3">
      <c r="A83" s="70" t="s">
        <v>38</v>
      </c>
      <c r="B83" s="70" t="s">
        <v>39</v>
      </c>
      <c r="C83" s="70" t="s">
        <v>40</v>
      </c>
      <c r="D83" s="70" t="s">
        <v>41</v>
      </c>
      <c r="E83" s="70" t="s">
        <v>42</v>
      </c>
      <c r="F83" s="70" t="s">
        <v>43</v>
      </c>
      <c r="G83" s="70" t="s">
        <v>44</v>
      </c>
      <c r="H83" s="70" t="s">
        <v>45</v>
      </c>
      <c r="K83" s="4"/>
    </row>
    <row r="84" spans="1:11" ht="30" customHeight="1" x14ac:dyDescent="0.25">
      <c r="A84" s="2" t="s">
        <v>3</v>
      </c>
      <c r="B84" s="2" t="s">
        <v>318</v>
      </c>
      <c r="C84" s="8"/>
      <c r="D84" s="8"/>
      <c r="E84" s="8"/>
      <c r="F84" s="8"/>
      <c r="G84" s="8"/>
      <c r="H84" s="8"/>
      <c r="K84" s="4"/>
    </row>
    <row r="85" spans="1:11" ht="30" customHeight="1" x14ac:dyDescent="0.25">
      <c r="A85" s="2" t="s">
        <v>6</v>
      </c>
      <c r="B85" s="2" t="s">
        <v>319</v>
      </c>
      <c r="C85" s="8"/>
      <c r="D85" s="8"/>
      <c r="E85" s="8"/>
      <c r="F85" s="8"/>
      <c r="G85" s="8"/>
      <c r="H85" s="8"/>
      <c r="K85" s="4"/>
    </row>
    <row r="86" spans="1:11" ht="30" customHeight="1" x14ac:dyDescent="0.25">
      <c r="A86" s="2" t="s">
        <v>9</v>
      </c>
      <c r="B86" s="2" t="s">
        <v>322</v>
      </c>
      <c r="C86" s="8"/>
      <c r="D86" s="8"/>
      <c r="E86" s="8"/>
      <c r="F86" s="8"/>
      <c r="G86" s="8"/>
      <c r="H86" s="8"/>
      <c r="K86" s="4"/>
    </row>
    <row r="87" spans="1:11" ht="30" customHeight="1" x14ac:dyDescent="0.25">
      <c r="A87" s="2" t="s">
        <v>12</v>
      </c>
      <c r="B87" s="2" t="s">
        <v>320</v>
      </c>
      <c r="C87" s="8"/>
      <c r="D87" s="8"/>
      <c r="E87" s="8"/>
      <c r="F87" s="8"/>
      <c r="G87" s="8"/>
      <c r="H87" s="8"/>
      <c r="K87" s="4"/>
    </row>
    <row r="88" spans="1:11" ht="30" customHeight="1" x14ac:dyDescent="0.25">
      <c r="A88" s="2" t="s">
        <v>14</v>
      </c>
      <c r="B88" s="2" t="s">
        <v>325</v>
      </c>
      <c r="C88" s="8"/>
      <c r="D88" s="8"/>
      <c r="E88" s="8"/>
      <c r="F88" s="8"/>
      <c r="G88" s="8"/>
      <c r="H88" s="8"/>
      <c r="K88" s="4"/>
    </row>
    <row r="89" spans="1:11" ht="30" customHeight="1" x14ac:dyDescent="0.25">
      <c r="A89" s="2" t="s">
        <v>16</v>
      </c>
      <c r="B89" s="2" t="s">
        <v>321</v>
      </c>
      <c r="C89" s="8"/>
      <c r="D89" s="8"/>
      <c r="E89" s="8"/>
      <c r="F89" s="8"/>
      <c r="G89" s="8"/>
      <c r="H89" s="8"/>
      <c r="K89" s="4"/>
    </row>
    <row r="90" spans="1:11" ht="30" customHeight="1" x14ac:dyDescent="0.25">
      <c r="A90" s="2" t="s">
        <v>18</v>
      </c>
      <c r="B90" s="2" t="s">
        <v>326</v>
      </c>
      <c r="C90" s="8"/>
      <c r="D90" s="8"/>
      <c r="E90" s="8"/>
      <c r="F90" s="8"/>
      <c r="G90" s="8"/>
      <c r="H90" s="8"/>
      <c r="K90" s="4"/>
    </row>
    <row r="91" spans="1:11" ht="30" customHeight="1" x14ac:dyDescent="0.25">
      <c r="A91" s="2" t="s">
        <v>71</v>
      </c>
      <c r="B91" s="2" t="s">
        <v>323</v>
      </c>
      <c r="C91" s="8"/>
      <c r="D91" s="8"/>
      <c r="E91" s="8"/>
      <c r="F91" s="8"/>
      <c r="G91" s="8"/>
      <c r="H91" s="8"/>
      <c r="K91" s="4"/>
    </row>
    <row r="92" spans="1:11" ht="30" customHeight="1" x14ac:dyDescent="0.25">
      <c r="A92" s="91">
        <v>44090</v>
      </c>
      <c r="B92" s="92"/>
      <c r="C92" s="92"/>
      <c r="D92" s="92"/>
      <c r="E92" s="92"/>
      <c r="F92" s="92"/>
      <c r="G92" s="92"/>
      <c r="H92" s="93"/>
      <c r="K92" s="4"/>
    </row>
    <row r="93" spans="1:11" s="7" customFormat="1" ht="30" customHeight="1" x14ac:dyDescent="0.3">
      <c r="A93" s="70" t="s">
        <v>38</v>
      </c>
      <c r="B93" s="70" t="s">
        <v>39</v>
      </c>
      <c r="C93" s="70" t="s">
        <v>40</v>
      </c>
      <c r="D93" s="70" t="s">
        <v>41</v>
      </c>
      <c r="E93" s="70" t="s">
        <v>42</v>
      </c>
      <c r="F93" s="70" t="s">
        <v>43</v>
      </c>
      <c r="G93" s="70" t="s">
        <v>44</v>
      </c>
      <c r="H93" s="70" t="s">
        <v>45</v>
      </c>
      <c r="K93" s="4"/>
    </row>
    <row r="94" spans="1:11" ht="30" customHeight="1" x14ac:dyDescent="0.25">
      <c r="A94" s="2" t="s">
        <v>3</v>
      </c>
      <c r="B94" s="2" t="s">
        <v>324</v>
      </c>
      <c r="C94" s="8"/>
      <c r="D94" s="8"/>
      <c r="E94" s="8"/>
      <c r="F94" s="8"/>
      <c r="G94" s="8"/>
      <c r="H94" s="8"/>
      <c r="K94" s="4"/>
    </row>
    <row r="95" spans="1:11" ht="30" customHeight="1" x14ac:dyDescent="0.25">
      <c r="A95" s="2" t="s">
        <v>6</v>
      </c>
      <c r="B95" s="2" t="s">
        <v>329</v>
      </c>
      <c r="C95" s="8"/>
      <c r="D95" s="8"/>
      <c r="E95" s="8"/>
      <c r="F95" s="8"/>
      <c r="G95" s="8"/>
      <c r="H95" s="8"/>
      <c r="K95" s="4"/>
    </row>
    <row r="96" spans="1:11" ht="30" customHeight="1" x14ac:dyDescent="0.25">
      <c r="A96" s="2" t="s">
        <v>9</v>
      </c>
      <c r="B96" s="2" t="s">
        <v>327</v>
      </c>
      <c r="C96" s="8"/>
      <c r="D96" s="8"/>
      <c r="E96" s="8"/>
      <c r="F96" s="8"/>
      <c r="G96" s="8"/>
      <c r="H96" s="8"/>
      <c r="K96" s="4"/>
    </row>
    <row r="97" spans="1:11" ht="30" customHeight="1" x14ac:dyDescent="0.25">
      <c r="A97" s="2" t="s">
        <v>12</v>
      </c>
      <c r="B97" s="2" t="s">
        <v>330</v>
      </c>
      <c r="C97" s="8"/>
      <c r="D97" s="8"/>
      <c r="E97" s="8"/>
      <c r="F97" s="8"/>
      <c r="G97" s="8"/>
      <c r="H97" s="8"/>
      <c r="K97" s="4"/>
    </row>
    <row r="98" spans="1:11" ht="30" customHeight="1" x14ac:dyDescent="0.25">
      <c r="A98" s="2" t="s">
        <v>14</v>
      </c>
      <c r="B98" s="2" t="s">
        <v>328</v>
      </c>
      <c r="C98" s="8"/>
      <c r="D98" s="8"/>
      <c r="E98" s="8"/>
      <c r="F98" s="8"/>
      <c r="G98" s="8"/>
      <c r="H98" s="8"/>
      <c r="K98" s="4"/>
    </row>
    <row r="99" spans="1:11" ht="30" customHeight="1" x14ac:dyDescent="0.25">
      <c r="A99" s="2" t="s">
        <v>16</v>
      </c>
      <c r="B99" s="2" t="s">
        <v>331</v>
      </c>
      <c r="C99" s="8"/>
      <c r="D99" s="8"/>
      <c r="E99" s="8"/>
      <c r="F99" s="8"/>
      <c r="G99" s="8"/>
      <c r="H99" s="8"/>
      <c r="K99" s="4"/>
    </row>
    <row r="100" spans="1:11" ht="30" customHeight="1" x14ac:dyDescent="0.25">
      <c r="A100" s="2" t="s">
        <v>18</v>
      </c>
      <c r="B100" s="2" t="s">
        <v>254</v>
      </c>
      <c r="C100" s="8"/>
      <c r="D100" s="8"/>
      <c r="E100" s="8"/>
      <c r="F100" s="8"/>
      <c r="G100" s="8"/>
      <c r="H100" s="8"/>
      <c r="K100" s="4"/>
    </row>
    <row r="101" spans="1:11" ht="30" customHeight="1" x14ac:dyDescent="0.25">
      <c r="A101" s="2" t="s">
        <v>71</v>
      </c>
      <c r="B101" s="2" t="s">
        <v>332</v>
      </c>
      <c r="C101" s="8"/>
      <c r="D101" s="8"/>
      <c r="E101" s="8"/>
      <c r="F101" s="8"/>
      <c r="G101" s="8"/>
      <c r="H101" s="8"/>
      <c r="K101" s="4"/>
    </row>
    <row r="102" spans="1:11" ht="30" customHeight="1" x14ac:dyDescent="0.25">
      <c r="A102" s="91">
        <v>44092</v>
      </c>
      <c r="B102" s="92"/>
      <c r="C102" s="92"/>
      <c r="D102" s="92"/>
      <c r="E102" s="92"/>
      <c r="F102" s="92"/>
      <c r="G102" s="92"/>
      <c r="H102" s="93"/>
      <c r="K102" s="4"/>
    </row>
    <row r="103" spans="1:11" s="7" customFormat="1" ht="30" customHeight="1" x14ac:dyDescent="0.3">
      <c r="A103" s="70" t="s">
        <v>38</v>
      </c>
      <c r="B103" s="70" t="s">
        <v>39</v>
      </c>
      <c r="C103" s="70" t="s">
        <v>40</v>
      </c>
      <c r="D103" s="70" t="s">
        <v>41</v>
      </c>
      <c r="E103" s="70" t="s">
        <v>42</v>
      </c>
      <c r="F103" s="70" t="s">
        <v>43</v>
      </c>
      <c r="G103" s="70" t="s">
        <v>44</v>
      </c>
      <c r="H103" s="70" t="s">
        <v>45</v>
      </c>
      <c r="K103" s="4"/>
    </row>
    <row r="104" spans="1:11" ht="30" customHeight="1" x14ac:dyDescent="0.25">
      <c r="A104" s="2" t="s">
        <v>3</v>
      </c>
      <c r="B104" s="2" t="s">
        <v>333</v>
      </c>
      <c r="C104" s="8"/>
      <c r="D104" s="8"/>
      <c r="E104" s="8"/>
      <c r="F104" s="8"/>
      <c r="G104" s="8"/>
      <c r="H104" s="8"/>
      <c r="K104" s="4"/>
    </row>
    <row r="105" spans="1:11" ht="30" customHeight="1" x14ac:dyDescent="0.25">
      <c r="A105" s="2" t="s">
        <v>6</v>
      </c>
      <c r="B105" s="2" t="s">
        <v>257</v>
      </c>
      <c r="C105" s="8"/>
      <c r="D105" s="8"/>
      <c r="E105" s="8"/>
      <c r="F105" s="8"/>
      <c r="G105" s="8"/>
      <c r="H105" s="8"/>
      <c r="K105" s="4"/>
    </row>
    <row r="106" spans="1:11" ht="30" customHeight="1" x14ac:dyDescent="0.25">
      <c r="A106" s="2" t="s">
        <v>9</v>
      </c>
      <c r="B106" s="2" t="s">
        <v>255</v>
      </c>
      <c r="C106" s="8"/>
      <c r="D106" s="8"/>
      <c r="E106" s="8"/>
      <c r="F106" s="8"/>
      <c r="G106" s="8"/>
      <c r="H106" s="8"/>
      <c r="K106" s="4"/>
    </row>
    <row r="107" spans="1:11" ht="30" customHeight="1" x14ac:dyDescent="0.25">
      <c r="A107" s="2" t="s">
        <v>12</v>
      </c>
      <c r="B107" s="2" t="s">
        <v>258</v>
      </c>
      <c r="C107" s="8"/>
      <c r="D107" s="8"/>
      <c r="E107" s="8"/>
      <c r="F107" s="8"/>
      <c r="G107" s="8"/>
      <c r="H107" s="8"/>
      <c r="K107" s="4"/>
    </row>
    <row r="108" spans="1:11" ht="30" customHeight="1" x14ac:dyDescent="0.25">
      <c r="A108" s="2" t="s">
        <v>14</v>
      </c>
      <c r="B108" s="2" t="s">
        <v>256</v>
      </c>
      <c r="C108" s="8"/>
      <c r="D108" s="8"/>
      <c r="E108" s="8"/>
      <c r="F108" s="8"/>
      <c r="G108" s="8"/>
      <c r="H108" s="8"/>
      <c r="K108" s="4"/>
    </row>
    <row r="109" spans="1:11" ht="30" customHeight="1" x14ac:dyDescent="0.25">
      <c r="A109" s="2" t="s">
        <v>16</v>
      </c>
      <c r="B109" s="2" t="s">
        <v>271</v>
      </c>
      <c r="C109" s="8"/>
      <c r="D109" s="8"/>
      <c r="E109" s="8"/>
      <c r="F109" s="8"/>
      <c r="G109" s="8"/>
      <c r="H109" s="8"/>
      <c r="K109" s="4"/>
    </row>
    <row r="110" spans="1:11" ht="30" customHeight="1" x14ac:dyDescent="0.25">
      <c r="A110" s="2" t="s">
        <v>18</v>
      </c>
      <c r="B110" s="2" t="s">
        <v>259</v>
      </c>
      <c r="C110" s="8"/>
      <c r="D110" s="8"/>
      <c r="E110" s="8"/>
      <c r="F110" s="8"/>
      <c r="G110" s="8"/>
      <c r="H110" s="8"/>
      <c r="K110" s="4"/>
    </row>
    <row r="111" spans="1:11" ht="30" customHeight="1" x14ac:dyDescent="0.25">
      <c r="A111" s="2" t="s">
        <v>71</v>
      </c>
      <c r="B111" s="2" t="s">
        <v>260</v>
      </c>
      <c r="C111" s="8"/>
      <c r="D111" s="8"/>
      <c r="E111" s="8"/>
      <c r="F111" s="8"/>
      <c r="G111" s="8"/>
      <c r="H111" s="8"/>
      <c r="K111" s="4"/>
    </row>
    <row r="112" spans="1:11" ht="30" customHeight="1" x14ac:dyDescent="0.25">
      <c r="A112" s="91">
        <v>44095</v>
      </c>
      <c r="B112" s="92"/>
      <c r="C112" s="92"/>
      <c r="D112" s="92"/>
      <c r="E112" s="92"/>
      <c r="F112" s="92"/>
      <c r="G112" s="92"/>
      <c r="H112" s="93"/>
      <c r="K112" s="4"/>
    </row>
    <row r="113" spans="1:11" s="7" customFormat="1" ht="30" customHeight="1" x14ac:dyDescent="0.3">
      <c r="A113" s="70" t="s">
        <v>38</v>
      </c>
      <c r="B113" s="70" t="s">
        <v>39</v>
      </c>
      <c r="C113" s="70" t="s">
        <v>40</v>
      </c>
      <c r="D113" s="70" t="s">
        <v>41</v>
      </c>
      <c r="E113" s="70" t="s">
        <v>42</v>
      </c>
      <c r="F113" s="70" t="s">
        <v>43</v>
      </c>
      <c r="G113" s="70" t="s">
        <v>44</v>
      </c>
      <c r="H113" s="70" t="s">
        <v>45</v>
      </c>
      <c r="K113" s="4"/>
    </row>
    <row r="114" spans="1:11" ht="30" customHeight="1" x14ac:dyDescent="0.25">
      <c r="A114" s="2" t="s">
        <v>3</v>
      </c>
      <c r="B114" s="2" t="s">
        <v>261</v>
      </c>
      <c r="C114" s="8"/>
      <c r="D114" s="8"/>
      <c r="E114" s="8"/>
      <c r="F114" s="8"/>
      <c r="G114" s="8"/>
      <c r="H114" s="8"/>
      <c r="K114" s="4"/>
    </row>
    <row r="115" spans="1:11" ht="30" customHeight="1" x14ac:dyDescent="0.25">
      <c r="A115" s="2" t="s">
        <v>6</v>
      </c>
      <c r="B115" s="2" t="s">
        <v>272</v>
      </c>
      <c r="C115" s="8"/>
      <c r="D115" s="8"/>
      <c r="E115" s="8"/>
      <c r="F115" s="8"/>
      <c r="G115" s="8"/>
      <c r="H115" s="8"/>
      <c r="K115" s="4"/>
    </row>
    <row r="116" spans="1:11" ht="30" customHeight="1" x14ac:dyDescent="0.25">
      <c r="A116" s="2" t="s">
        <v>9</v>
      </c>
      <c r="B116" s="2" t="s">
        <v>262</v>
      </c>
      <c r="C116" s="8"/>
      <c r="D116" s="8"/>
      <c r="E116" s="8"/>
      <c r="F116" s="8"/>
      <c r="G116" s="8"/>
      <c r="H116" s="8"/>
      <c r="K116" s="4"/>
    </row>
    <row r="117" spans="1:11" ht="30" customHeight="1" x14ac:dyDescent="0.25">
      <c r="A117" s="2" t="s">
        <v>12</v>
      </c>
      <c r="B117" s="2" t="s">
        <v>273</v>
      </c>
      <c r="C117" s="8"/>
      <c r="D117" s="8"/>
      <c r="E117" s="8"/>
      <c r="F117" s="8"/>
      <c r="G117" s="8"/>
      <c r="H117" s="8"/>
      <c r="K117" s="4"/>
    </row>
    <row r="118" spans="1:11" ht="30" customHeight="1" x14ac:dyDescent="0.25">
      <c r="A118" s="2" t="s">
        <v>14</v>
      </c>
      <c r="B118" s="2" t="s">
        <v>263</v>
      </c>
      <c r="C118" s="8"/>
      <c r="D118" s="8"/>
      <c r="E118" s="8"/>
      <c r="F118" s="8"/>
      <c r="G118" s="8"/>
      <c r="H118" s="8"/>
      <c r="K118" s="4"/>
    </row>
    <row r="119" spans="1:11" ht="30" customHeight="1" x14ac:dyDescent="0.25">
      <c r="A119" s="2" t="s">
        <v>16</v>
      </c>
      <c r="B119" s="2" t="s">
        <v>274</v>
      </c>
      <c r="C119" s="8"/>
      <c r="D119" s="8"/>
      <c r="E119" s="8"/>
      <c r="F119" s="8"/>
      <c r="G119" s="8"/>
      <c r="H119" s="8"/>
      <c r="K119" s="4"/>
    </row>
    <row r="120" spans="1:11" ht="30" customHeight="1" x14ac:dyDescent="0.25">
      <c r="A120" s="2" t="s">
        <v>18</v>
      </c>
      <c r="B120" s="2" t="s">
        <v>264</v>
      </c>
      <c r="C120" s="8"/>
      <c r="D120" s="8"/>
      <c r="E120" s="8"/>
      <c r="F120" s="8"/>
      <c r="G120" s="8"/>
      <c r="H120" s="8"/>
      <c r="K120" s="4"/>
    </row>
    <row r="121" spans="1:11" ht="30" customHeight="1" x14ac:dyDescent="0.25">
      <c r="A121" s="2" t="s">
        <v>71</v>
      </c>
      <c r="B121" s="2" t="s">
        <v>265</v>
      </c>
      <c r="C121" s="8"/>
      <c r="D121" s="8"/>
      <c r="E121" s="8"/>
      <c r="F121" s="8"/>
      <c r="G121" s="8"/>
      <c r="H121" s="8"/>
      <c r="K121" s="4"/>
    </row>
    <row r="122" spans="1:11" ht="30" customHeight="1" x14ac:dyDescent="0.25">
      <c r="A122" s="91">
        <v>44097</v>
      </c>
      <c r="B122" s="92"/>
      <c r="C122" s="92"/>
      <c r="D122" s="92"/>
      <c r="E122" s="92"/>
      <c r="F122" s="92"/>
      <c r="G122" s="92"/>
      <c r="H122" s="93"/>
      <c r="K122" s="4"/>
    </row>
    <row r="123" spans="1:11" s="7" customFormat="1" ht="30" customHeight="1" x14ac:dyDescent="0.3">
      <c r="A123" s="70" t="s">
        <v>38</v>
      </c>
      <c r="B123" s="70" t="s">
        <v>39</v>
      </c>
      <c r="C123" s="70" t="s">
        <v>40</v>
      </c>
      <c r="D123" s="70" t="s">
        <v>41</v>
      </c>
      <c r="E123" s="70" t="s">
        <v>42</v>
      </c>
      <c r="F123" s="70" t="s">
        <v>43</v>
      </c>
      <c r="G123" s="70" t="s">
        <v>44</v>
      </c>
      <c r="H123" s="70" t="s">
        <v>45</v>
      </c>
      <c r="K123" s="4"/>
    </row>
    <row r="124" spans="1:11" ht="30" customHeight="1" x14ac:dyDescent="0.25">
      <c r="A124" s="2" t="s">
        <v>3</v>
      </c>
      <c r="B124" s="2" t="s">
        <v>266</v>
      </c>
      <c r="C124" s="8"/>
      <c r="D124" s="8"/>
      <c r="E124" s="8"/>
      <c r="F124" s="8"/>
      <c r="G124" s="8"/>
      <c r="H124" s="8"/>
      <c r="K124" s="4"/>
    </row>
    <row r="125" spans="1:11" ht="30" customHeight="1" x14ac:dyDescent="0.25">
      <c r="A125" s="2" t="s">
        <v>6</v>
      </c>
      <c r="B125" s="2" t="s">
        <v>275</v>
      </c>
      <c r="C125" s="8"/>
      <c r="D125" s="8"/>
      <c r="E125" s="8"/>
      <c r="F125" s="8"/>
      <c r="G125" s="8"/>
      <c r="H125" s="8"/>
      <c r="K125" s="4"/>
    </row>
    <row r="126" spans="1:11" ht="30" customHeight="1" x14ac:dyDescent="0.25">
      <c r="A126" s="2" t="s">
        <v>9</v>
      </c>
      <c r="B126" s="2" t="s">
        <v>267</v>
      </c>
      <c r="C126" s="8"/>
      <c r="D126" s="8"/>
      <c r="E126" s="8"/>
      <c r="F126" s="8"/>
      <c r="G126" s="8"/>
      <c r="H126" s="8"/>
      <c r="K126" s="4"/>
    </row>
    <row r="127" spans="1:11" ht="30" customHeight="1" x14ac:dyDescent="0.25">
      <c r="A127" s="2" t="s">
        <v>12</v>
      </c>
      <c r="B127" s="2" t="s">
        <v>276</v>
      </c>
      <c r="C127" s="8"/>
      <c r="D127" s="8"/>
      <c r="E127" s="8"/>
      <c r="F127" s="8"/>
      <c r="G127" s="8"/>
      <c r="H127" s="8"/>
      <c r="K127" s="4"/>
    </row>
    <row r="128" spans="1:11" ht="30" customHeight="1" x14ac:dyDescent="0.25">
      <c r="A128" s="2" t="s">
        <v>14</v>
      </c>
      <c r="B128" s="2" t="s">
        <v>268</v>
      </c>
      <c r="C128" s="8"/>
      <c r="D128" s="8"/>
      <c r="E128" s="8"/>
      <c r="F128" s="8"/>
      <c r="G128" s="8"/>
      <c r="H128" s="8"/>
      <c r="K128" s="4"/>
    </row>
    <row r="129" spans="1:11" ht="30" customHeight="1" x14ac:dyDescent="0.25">
      <c r="A129" s="2" t="s">
        <v>16</v>
      </c>
      <c r="B129" s="2" t="s">
        <v>277</v>
      </c>
      <c r="C129" s="8"/>
      <c r="D129" s="8"/>
      <c r="E129" s="8"/>
      <c r="F129" s="8"/>
      <c r="G129" s="8"/>
      <c r="H129" s="8"/>
      <c r="K129" s="4"/>
    </row>
    <row r="130" spans="1:11" ht="30" customHeight="1" x14ac:dyDescent="0.25">
      <c r="A130" s="2" t="s">
        <v>18</v>
      </c>
      <c r="B130" s="2" t="s">
        <v>269</v>
      </c>
      <c r="C130" s="8"/>
      <c r="D130" s="8"/>
      <c r="E130" s="8"/>
      <c r="F130" s="8"/>
      <c r="G130" s="8"/>
      <c r="H130" s="8"/>
      <c r="K130" s="4"/>
    </row>
    <row r="131" spans="1:11" ht="30" customHeight="1" x14ac:dyDescent="0.25">
      <c r="A131" s="2" t="s">
        <v>71</v>
      </c>
      <c r="B131" s="2" t="s">
        <v>270</v>
      </c>
      <c r="C131" s="8"/>
      <c r="D131" s="8"/>
      <c r="E131" s="8"/>
      <c r="F131" s="8"/>
      <c r="G131" s="8"/>
      <c r="H131" s="8"/>
      <c r="K131" s="4"/>
    </row>
    <row r="132" spans="1:11" ht="30" customHeight="1" x14ac:dyDescent="0.25">
      <c r="A132" s="91">
        <v>44099</v>
      </c>
      <c r="B132" s="92"/>
      <c r="C132" s="92"/>
      <c r="D132" s="92"/>
      <c r="E132" s="92"/>
      <c r="F132" s="92"/>
      <c r="G132" s="92"/>
      <c r="H132" s="93"/>
      <c r="K132" s="4"/>
    </row>
    <row r="133" spans="1:11" s="7" customFormat="1" ht="30" customHeight="1" x14ac:dyDescent="0.3">
      <c r="A133" s="70" t="s">
        <v>38</v>
      </c>
      <c r="B133" s="70" t="s">
        <v>39</v>
      </c>
      <c r="C133" s="70" t="s">
        <v>40</v>
      </c>
      <c r="D133" s="70" t="s">
        <v>41</v>
      </c>
      <c r="E133" s="70" t="s">
        <v>42</v>
      </c>
      <c r="F133" s="70" t="s">
        <v>43</v>
      </c>
      <c r="G133" s="70" t="s">
        <v>44</v>
      </c>
      <c r="H133" s="70" t="s">
        <v>45</v>
      </c>
      <c r="K133" s="4"/>
    </row>
    <row r="134" spans="1:11" ht="30" customHeight="1" x14ac:dyDescent="0.25">
      <c r="A134" s="2" t="s">
        <v>3</v>
      </c>
      <c r="B134" s="2" t="s">
        <v>278</v>
      </c>
      <c r="C134" s="8"/>
      <c r="D134" s="8"/>
      <c r="E134" s="8"/>
      <c r="F134" s="8"/>
      <c r="G134" s="8"/>
      <c r="H134" s="8"/>
      <c r="K134" s="4"/>
    </row>
    <row r="135" spans="1:11" ht="30" customHeight="1" x14ac:dyDescent="0.25">
      <c r="A135" s="2" t="s">
        <v>6</v>
      </c>
      <c r="B135" s="2" t="s">
        <v>279</v>
      </c>
      <c r="C135" s="8"/>
      <c r="D135" s="8"/>
      <c r="E135" s="8"/>
      <c r="F135" s="8"/>
      <c r="G135" s="8"/>
      <c r="H135" s="8"/>
      <c r="K135" s="4"/>
    </row>
    <row r="136" spans="1:11" ht="30" customHeight="1" x14ac:dyDescent="0.25">
      <c r="A136" s="2" t="s">
        <v>9</v>
      </c>
      <c r="B136" s="2" t="s">
        <v>284</v>
      </c>
      <c r="C136" s="8"/>
      <c r="D136" s="8"/>
      <c r="E136" s="8"/>
      <c r="F136" s="8"/>
      <c r="G136" s="8"/>
      <c r="H136" s="8"/>
      <c r="K136" s="4"/>
    </row>
    <row r="137" spans="1:11" ht="30" customHeight="1" x14ac:dyDescent="0.25">
      <c r="A137" s="2" t="s">
        <v>12</v>
      </c>
      <c r="B137" s="2" t="s">
        <v>280</v>
      </c>
      <c r="C137" s="8"/>
      <c r="D137" s="8"/>
      <c r="E137" s="8"/>
      <c r="F137" s="8"/>
      <c r="G137" s="8"/>
      <c r="H137" s="8"/>
      <c r="K137" s="4"/>
    </row>
    <row r="138" spans="1:11" ht="30" customHeight="1" x14ac:dyDescent="0.25">
      <c r="A138" s="2" t="s">
        <v>14</v>
      </c>
      <c r="B138" s="2" t="s">
        <v>285</v>
      </c>
      <c r="C138" s="8"/>
      <c r="D138" s="8"/>
      <c r="E138" s="8"/>
      <c r="F138" s="8"/>
      <c r="G138" s="8"/>
      <c r="H138" s="8"/>
      <c r="K138" s="4"/>
    </row>
    <row r="139" spans="1:11" ht="30" customHeight="1" x14ac:dyDescent="0.25">
      <c r="A139" s="2" t="s">
        <v>16</v>
      </c>
      <c r="B139" s="2" t="s">
        <v>281</v>
      </c>
      <c r="C139" s="8"/>
      <c r="D139" s="8"/>
      <c r="E139" s="8"/>
      <c r="F139" s="8"/>
      <c r="G139" s="8"/>
      <c r="H139" s="8"/>
      <c r="K139" s="4"/>
    </row>
    <row r="140" spans="1:11" ht="30" customHeight="1" x14ac:dyDescent="0.25">
      <c r="A140" s="2" t="s">
        <v>18</v>
      </c>
      <c r="B140" s="2" t="s">
        <v>287</v>
      </c>
      <c r="C140" s="8"/>
      <c r="D140" s="8"/>
      <c r="E140" s="8"/>
      <c r="F140" s="8"/>
      <c r="G140" s="8"/>
      <c r="H140" s="8"/>
      <c r="K140" s="4"/>
    </row>
    <row r="141" spans="1:11" ht="30" customHeight="1" x14ac:dyDescent="0.25">
      <c r="A141" s="2" t="s">
        <v>71</v>
      </c>
      <c r="B141" s="2" t="s">
        <v>282</v>
      </c>
      <c r="C141" s="8"/>
      <c r="D141" s="8"/>
      <c r="E141" s="8"/>
      <c r="F141" s="8"/>
      <c r="G141" s="8"/>
      <c r="H141" s="8"/>
      <c r="K141" s="4"/>
    </row>
    <row r="142" spans="1:11" ht="30" customHeight="1" x14ac:dyDescent="0.25">
      <c r="A142" s="91">
        <v>44102</v>
      </c>
      <c r="B142" s="92"/>
      <c r="C142" s="92"/>
      <c r="D142" s="92"/>
      <c r="E142" s="92"/>
      <c r="F142" s="92"/>
      <c r="G142" s="92"/>
      <c r="H142" s="93"/>
      <c r="K142" s="4"/>
    </row>
    <row r="143" spans="1:11" s="7" customFormat="1" ht="30" customHeight="1" x14ac:dyDescent="0.3">
      <c r="A143" s="70" t="s">
        <v>38</v>
      </c>
      <c r="B143" s="70" t="s">
        <v>39</v>
      </c>
      <c r="C143" s="70" t="s">
        <v>40</v>
      </c>
      <c r="D143" s="70" t="s">
        <v>41</v>
      </c>
      <c r="E143" s="70" t="s">
        <v>42</v>
      </c>
      <c r="F143" s="70" t="s">
        <v>43</v>
      </c>
      <c r="G143" s="70" t="s">
        <v>44</v>
      </c>
      <c r="H143" s="70" t="s">
        <v>45</v>
      </c>
      <c r="K143" s="4"/>
    </row>
    <row r="144" spans="1:11" ht="30" customHeight="1" x14ac:dyDescent="0.25">
      <c r="A144" s="2" t="s">
        <v>3</v>
      </c>
      <c r="B144" s="2" t="s">
        <v>283</v>
      </c>
      <c r="C144" s="8"/>
      <c r="D144" s="8"/>
      <c r="E144" s="8"/>
      <c r="F144" s="8"/>
      <c r="G144" s="8"/>
      <c r="H144" s="8"/>
      <c r="K144" s="4"/>
    </row>
    <row r="145" spans="1:11" ht="30" customHeight="1" x14ac:dyDescent="0.25">
      <c r="A145" s="2" t="s">
        <v>6</v>
      </c>
      <c r="B145" s="2" t="s">
        <v>286</v>
      </c>
      <c r="C145" s="8"/>
      <c r="D145" s="8"/>
      <c r="E145" s="8"/>
      <c r="F145" s="8"/>
      <c r="G145" s="8"/>
      <c r="H145" s="8"/>
      <c r="K145" s="4"/>
    </row>
    <row r="146" spans="1:11" ht="30" customHeight="1" x14ac:dyDescent="0.25">
      <c r="A146" s="2" t="s">
        <v>9</v>
      </c>
      <c r="B146" s="2" t="s">
        <v>288</v>
      </c>
      <c r="C146" s="8"/>
      <c r="D146" s="8"/>
      <c r="E146" s="8"/>
      <c r="F146" s="8"/>
      <c r="G146" s="8"/>
      <c r="H146" s="8"/>
      <c r="K146" s="4"/>
    </row>
    <row r="147" spans="1:11" ht="30" customHeight="1" x14ac:dyDescent="0.25">
      <c r="A147" s="2" t="s">
        <v>12</v>
      </c>
      <c r="B147" s="2" t="s">
        <v>295</v>
      </c>
      <c r="C147" s="8"/>
      <c r="D147" s="8"/>
      <c r="E147" s="8"/>
      <c r="F147" s="8"/>
      <c r="G147" s="8"/>
      <c r="H147" s="8"/>
      <c r="K147" s="4"/>
    </row>
    <row r="148" spans="1:11" ht="30" customHeight="1" x14ac:dyDescent="0.25">
      <c r="A148" s="2" t="s">
        <v>14</v>
      </c>
      <c r="B148" s="2" t="s">
        <v>289</v>
      </c>
      <c r="C148" s="8"/>
      <c r="D148" s="8"/>
      <c r="E148" s="8"/>
      <c r="F148" s="8"/>
      <c r="G148" s="8"/>
      <c r="H148" s="8"/>
      <c r="K148" s="4"/>
    </row>
    <row r="149" spans="1:11" ht="30" customHeight="1" x14ac:dyDescent="0.25">
      <c r="A149" s="2" t="s">
        <v>16</v>
      </c>
      <c r="B149" s="2" t="s">
        <v>296</v>
      </c>
      <c r="C149" s="8"/>
      <c r="D149" s="8"/>
      <c r="E149" s="8"/>
      <c r="F149" s="8"/>
      <c r="G149" s="8"/>
      <c r="H149" s="8"/>
      <c r="K149" s="4"/>
    </row>
    <row r="150" spans="1:11" ht="30" customHeight="1" x14ac:dyDescent="0.25">
      <c r="A150" s="2" t="s">
        <v>18</v>
      </c>
      <c r="B150" s="2" t="s">
        <v>290</v>
      </c>
      <c r="C150" s="8"/>
      <c r="D150" s="8"/>
      <c r="E150" s="8"/>
      <c r="F150" s="8"/>
      <c r="G150" s="8"/>
      <c r="H150" s="8"/>
      <c r="K150" s="4"/>
    </row>
    <row r="151" spans="1:11" ht="30" customHeight="1" x14ac:dyDescent="0.25">
      <c r="A151" s="2" t="s">
        <v>71</v>
      </c>
      <c r="B151" s="2" t="s">
        <v>291</v>
      </c>
      <c r="C151" s="8"/>
      <c r="D151" s="8"/>
      <c r="E151" s="8"/>
      <c r="F151" s="8"/>
      <c r="G151" s="8"/>
      <c r="H151" s="8"/>
      <c r="K151" s="4"/>
    </row>
    <row r="152" spans="1:11" ht="30" customHeight="1" x14ac:dyDescent="0.25">
      <c r="A152" s="91">
        <v>44104</v>
      </c>
      <c r="B152" s="92"/>
      <c r="C152" s="92"/>
      <c r="D152" s="92"/>
      <c r="E152" s="92"/>
      <c r="F152" s="92"/>
      <c r="G152" s="92"/>
      <c r="H152" s="93"/>
      <c r="K152" s="4"/>
    </row>
    <row r="153" spans="1:11" s="7" customFormat="1" ht="30" customHeight="1" x14ac:dyDescent="0.3">
      <c r="A153" s="70" t="s">
        <v>38</v>
      </c>
      <c r="B153" s="70" t="s">
        <v>39</v>
      </c>
      <c r="C153" s="70" t="s">
        <v>40</v>
      </c>
      <c r="D153" s="70" t="s">
        <v>41</v>
      </c>
      <c r="E153" s="70" t="s">
        <v>42</v>
      </c>
      <c r="F153" s="70" t="s">
        <v>43</v>
      </c>
      <c r="G153" s="70" t="s">
        <v>44</v>
      </c>
      <c r="H153" s="70" t="s">
        <v>45</v>
      </c>
      <c r="K153" s="4"/>
    </row>
    <row r="154" spans="1:11" ht="30" customHeight="1" x14ac:dyDescent="0.25">
      <c r="A154" s="2" t="s">
        <v>3</v>
      </c>
      <c r="B154" s="2" t="s">
        <v>292</v>
      </c>
      <c r="C154" s="8"/>
      <c r="D154" s="8"/>
      <c r="E154" s="8"/>
      <c r="F154" s="8"/>
      <c r="G154" s="8"/>
      <c r="H154" s="8"/>
      <c r="K154" s="4"/>
    </row>
    <row r="155" spans="1:11" ht="30" customHeight="1" x14ac:dyDescent="0.25">
      <c r="A155" s="2" t="s">
        <v>6</v>
      </c>
      <c r="B155" s="2" t="s">
        <v>297</v>
      </c>
      <c r="C155" s="8"/>
      <c r="D155" s="8"/>
      <c r="E155" s="8"/>
      <c r="F155" s="8"/>
      <c r="G155" s="8"/>
      <c r="H155" s="8"/>
      <c r="K155" s="4"/>
    </row>
    <row r="156" spans="1:11" ht="30" customHeight="1" x14ac:dyDescent="0.25">
      <c r="A156" s="2" t="s">
        <v>9</v>
      </c>
      <c r="B156" s="2" t="s">
        <v>293</v>
      </c>
      <c r="C156" s="8"/>
      <c r="D156" s="8"/>
      <c r="E156" s="8"/>
      <c r="F156" s="8"/>
      <c r="G156" s="8"/>
      <c r="H156" s="8"/>
      <c r="K156" s="4"/>
    </row>
    <row r="157" spans="1:11" ht="30" customHeight="1" x14ac:dyDescent="0.25">
      <c r="A157" s="2" t="s">
        <v>12</v>
      </c>
      <c r="B157" s="2" t="s">
        <v>303</v>
      </c>
      <c r="C157" s="8"/>
      <c r="D157" s="8"/>
      <c r="E157" s="8"/>
      <c r="F157" s="8"/>
      <c r="G157" s="8"/>
      <c r="H157" s="8"/>
      <c r="K157" s="4"/>
    </row>
    <row r="158" spans="1:11" ht="30" customHeight="1" x14ac:dyDescent="0.25">
      <c r="A158" s="2" t="s">
        <v>14</v>
      </c>
      <c r="B158" s="2" t="s">
        <v>294</v>
      </c>
      <c r="C158" s="8"/>
      <c r="D158" s="8"/>
      <c r="E158" s="8"/>
      <c r="F158" s="8"/>
      <c r="G158" s="8"/>
      <c r="H158" s="8"/>
      <c r="K158" s="4"/>
    </row>
    <row r="159" spans="1:11" ht="30" customHeight="1" x14ac:dyDescent="0.25">
      <c r="A159" s="2" t="s">
        <v>16</v>
      </c>
      <c r="B159" s="2" t="s">
        <v>304</v>
      </c>
      <c r="C159" s="8"/>
      <c r="D159" s="8"/>
      <c r="E159" s="8"/>
      <c r="F159" s="8"/>
      <c r="G159" s="8"/>
      <c r="H159" s="8"/>
      <c r="K159" s="4"/>
    </row>
    <row r="160" spans="1:11" ht="30" customHeight="1" x14ac:dyDescent="0.25">
      <c r="A160" s="2" t="s">
        <v>18</v>
      </c>
      <c r="B160" s="2" t="s">
        <v>298</v>
      </c>
      <c r="C160" s="8"/>
      <c r="D160" s="8"/>
      <c r="E160" s="8"/>
      <c r="F160" s="8"/>
      <c r="G160" s="8"/>
      <c r="H160" s="8"/>
      <c r="K160" s="4"/>
    </row>
    <row r="161" spans="1:11" ht="30" customHeight="1" x14ac:dyDescent="0.25">
      <c r="A161" s="2" t="s">
        <v>71</v>
      </c>
      <c r="B161" s="2" t="s">
        <v>299</v>
      </c>
      <c r="C161" s="8"/>
      <c r="D161" s="8"/>
      <c r="E161" s="8"/>
      <c r="F161" s="8"/>
      <c r="G161" s="8"/>
      <c r="H161" s="8"/>
      <c r="K161" s="4"/>
    </row>
    <row r="162" spans="1:11" ht="30" customHeight="1" x14ac:dyDescent="0.25">
      <c r="A162" s="91">
        <v>44109</v>
      </c>
      <c r="B162" s="92"/>
      <c r="C162" s="92"/>
      <c r="D162" s="92"/>
      <c r="E162" s="92"/>
      <c r="F162" s="92"/>
      <c r="G162" s="92"/>
      <c r="H162" s="93"/>
      <c r="K162" s="4"/>
    </row>
    <row r="163" spans="1:11" s="7" customFormat="1" ht="30" customHeight="1" x14ac:dyDescent="0.3">
      <c r="A163" s="70" t="s">
        <v>38</v>
      </c>
      <c r="B163" s="70" t="s">
        <v>39</v>
      </c>
      <c r="C163" s="70" t="s">
        <v>40</v>
      </c>
      <c r="D163" s="70" t="s">
        <v>41</v>
      </c>
      <c r="E163" s="70" t="s">
        <v>42</v>
      </c>
      <c r="F163" s="70" t="s">
        <v>43</v>
      </c>
      <c r="G163" s="70" t="s">
        <v>44</v>
      </c>
      <c r="H163" s="70" t="s">
        <v>45</v>
      </c>
      <c r="K163" s="4"/>
    </row>
    <row r="164" spans="1:11" ht="30" customHeight="1" x14ac:dyDescent="0.25">
      <c r="A164" s="2" t="s">
        <v>3</v>
      </c>
      <c r="B164" s="2" t="s">
        <v>300</v>
      </c>
      <c r="C164" s="8"/>
      <c r="D164" s="8"/>
      <c r="E164" s="8"/>
      <c r="F164" s="8"/>
      <c r="G164" s="8"/>
      <c r="H164" s="8"/>
      <c r="K164" s="4"/>
    </row>
    <row r="165" spans="1:11" ht="30" customHeight="1" x14ac:dyDescent="0.25">
      <c r="A165" s="2" t="s">
        <v>6</v>
      </c>
      <c r="B165" s="2" t="s">
        <v>305</v>
      </c>
      <c r="C165" s="8"/>
      <c r="D165" s="8"/>
      <c r="E165" s="8"/>
      <c r="F165" s="8"/>
      <c r="G165" s="8"/>
      <c r="H165" s="8"/>
      <c r="K165" s="4"/>
    </row>
    <row r="166" spans="1:11" ht="30" customHeight="1" x14ac:dyDescent="0.25">
      <c r="A166" s="2" t="s">
        <v>9</v>
      </c>
      <c r="B166" s="2" t="s">
        <v>301</v>
      </c>
      <c r="C166" s="8"/>
      <c r="D166" s="8"/>
      <c r="E166" s="8"/>
      <c r="F166" s="8"/>
      <c r="G166" s="8"/>
      <c r="H166" s="8"/>
      <c r="K166" s="4"/>
    </row>
    <row r="167" spans="1:11" ht="30" customHeight="1" x14ac:dyDescent="0.25">
      <c r="A167" s="2" t="s">
        <v>12</v>
      </c>
      <c r="B167" s="2" t="s">
        <v>306</v>
      </c>
      <c r="C167" s="8"/>
      <c r="D167" s="8"/>
      <c r="E167" s="8"/>
      <c r="F167" s="8"/>
      <c r="G167" s="8"/>
      <c r="H167" s="8"/>
      <c r="K167" s="4"/>
    </row>
    <row r="168" spans="1:11" ht="30" customHeight="1" x14ac:dyDescent="0.25">
      <c r="A168" s="2" t="s">
        <v>14</v>
      </c>
      <c r="B168" s="2" t="s">
        <v>302</v>
      </c>
      <c r="C168" s="8"/>
      <c r="D168" s="8"/>
      <c r="E168" s="8"/>
      <c r="F168" s="8"/>
      <c r="G168" s="8"/>
      <c r="H168" s="8"/>
      <c r="K168" s="4"/>
    </row>
    <row r="169" spans="1:11" ht="30" customHeight="1" x14ac:dyDescent="0.25">
      <c r="A169" s="2" t="s">
        <v>16</v>
      </c>
      <c r="B169" s="2" t="s">
        <v>307</v>
      </c>
      <c r="C169" s="8"/>
      <c r="D169" s="8"/>
      <c r="E169" s="8"/>
      <c r="F169" s="8"/>
      <c r="G169" s="8"/>
      <c r="H169" s="8"/>
      <c r="K169" s="4"/>
    </row>
    <row r="170" spans="1:11" ht="30" customHeight="1" x14ac:dyDescent="0.25">
      <c r="A170" s="2" t="s">
        <v>18</v>
      </c>
      <c r="B170" s="2" t="s">
        <v>309</v>
      </c>
      <c r="C170" s="8"/>
      <c r="D170" s="8"/>
      <c r="E170" s="8"/>
      <c r="F170" s="8"/>
      <c r="G170" s="8"/>
      <c r="H170" s="8"/>
      <c r="K170" s="4"/>
    </row>
    <row r="171" spans="1:11" ht="30" customHeight="1" x14ac:dyDescent="0.25">
      <c r="A171" s="2" t="s">
        <v>71</v>
      </c>
      <c r="B171" s="2" t="s">
        <v>308</v>
      </c>
      <c r="C171" s="8"/>
      <c r="D171" s="8"/>
      <c r="E171" s="8"/>
      <c r="F171" s="8"/>
      <c r="G171" s="8"/>
      <c r="H171" s="8"/>
      <c r="K171" s="4"/>
    </row>
    <row r="172" spans="1:11" ht="30" customHeight="1" x14ac:dyDescent="0.25">
      <c r="A172" s="91">
        <v>44111</v>
      </c>
      <c r="B172" s="92"/>
      <c r="C172" s="92"/>
      <c r="D172" s="92"/>
      <c r="E172" s="92"/>
      <c r="F172" s="92"/>
      <c r="G172" s="92"/>
      <c r="H172" s="93"/>
      <c r="K172" s="4"/>
    </row>
    <row r="173" spans="1:11" s="7" customFormat="1" ht="30" customHeight="1" x14ac:dyDescent="0.3">
      <c r="A173" s="70" t="s">
        <v>38</v>
      </c>
      <c r="B173" s="70" t="s">
        <v>39</v>
      </c>
      <c r="C173" s="70" t="s">
        <v>40</v>
      </c>
      <c r="D173" s="70" t="s">
        <v>41</v>
      </c>
      <c r="E173" s="70" t="s">
        <v>42</v>
      </c>
      <c r="F173" s="70" t="s">
        <v>43</v>
      </c>
      <c r="G173" s="70" t="s">
        <v>44</v>
      </c>
      <c r="H173" s="70" t="s">
        <v>45</v>
      </c>
      <c r="K173" s="4"/>
    </row>
    <row r="174" spans="1:11" ht="30" customHeight="1" x14ac:dyDescent="0.25">
      <c r="A174" s="2" t="s">
        <v>3</v>
      </c>
      <c r="B174" s="2" t="s">
        <v>310</v>
      </c>
      <c r="C174" s="8"/>
      <c r="D174" s="8"/>
      <c r="E174" s="8"/>
      <c r="F174" s="8"/>
      <c r="G174" s="8"/>
      <c r="H174" s="8"/>
      <c r="K174" s="4"/>
    </row>
    <row r="175" spans="1:11" ht="30" customHeight="1" x14ac:dyDescent="0.25">
      <c r="A175" s="2" t="s">
        <v>6</v>
      </c>
      <c r="B175" s="2" t="s">
        <v>312</v>
      </c>
      <c r="C175" s="8"/>
      <c r="D175" s="8"/>
      <c r="E175" s="8"/>
      <c r="F175" s="8"/>
      <c r="G175" s="8"/>
      <c r="H175" s="8"/>
      <c r="K175" s="4"/>
    </row>
    <row r="176" spans="1:11" ht="30" customHeight="1" x14ac:dyDescent="0.25">
      <c r="A176" s="2" t="s">
        <v>9</v>
      </c>
      <c r="B176" s="2" t="s">
        <v>311</v>
      </c>
      <c r="C176" s="8"/>
      <c r="D176" s="8"/>
      <c r="E176" s="8"/>
      <c r="F176" s="8"/>
      <c r="G176" s="8"/>
      <c r="H176" s="8"/>
      <c r="K176" s="4"/>
    </row>
    <row r="177" spans="1:11" ht="30" customHeight="1" x14ac:dyDescent="0.25">
      <c r="A177" s="2" t="s">
        <v>12</v>
      </c>
      <c r="B177" s="2" t="s">
        <v>313</v>
      </c>
      <c r="C177" s="8"/>
      <c r="D177" s="8"/>
      <c r="E177" s="8"/>
      <c r="F177" s="8"/>
      <c r="G177" s="8"/>
      <c r="H177" s="8"/>
      <c r="K177" s="4"/>
    </row>
    <row r="178" spans="1:11" ht="30" customHeight="1" x14ac:dyDescent="0.25">
      <c r="A178" s="2" t="s">
        <v>14</v>
      </c>
      <c r="B178" s="2" t="s">
        <v>315</v>
      </c>
      <c r="C178" s="8"/>
      <c r="D178" s="8"/>
      <c r="E178" s="8"/>
      <c r="F178" s="8"/>
      <c r="G178" s="8"/>
      <c r="H178" s="8"/>
      <c r="K178" s="4"/>
    </row>
    <row r="179" spans="1:11" ht="30" customHeight="1" x14ac:dyDescent="0.25">
      <c r="A179" s="2" t="s">
        <v>16</v>
      </c>
      <c r="B179" s="2" t="s">
        <v>314</v>
      </c>
      <c r="C179" s="8"/>
      <c r="D179" s="8"/>
      <c r="E179" s="8"/>
      <c r="F179" s="8"/>
      <c r="G179" s="8"/>
      <c r="H179" s="8"/>
      <c r="K179" s="4"/>
    </row>
    <row r="180" spans="1:11" ht="30" customHeight="1" x14ac:dyDescent="0.25">
      <c r="A180" s="2" t="s">
        <v>18</v>
      </c>
      <c r="B180" s="2" t="s">
        <v>316</v>
      </c>
      <c r="C180" s="8"/>
      <c r="D180" s="8"/>
      <c r="E180" s="8"/>
      <c r="F180" s="8"/>
      <c r="G180" s="8"/>
      <c r="H180" s="8"/>
      <c r="K180" s="4"/>
    </row>
    <row r="181" spans="1:11" ht="30" customHeight="1" x14ac:dyDescent="0.25">
      <c r="A181" s="2" t="s">
        <v>71</v>
      </c>
      <c r="B181" s="2" t="s">
        <v>317</v>
      </c>
      <c r="C181" s="8"/>
      <c r="D181" s="8"/>
      <c r="E181" s="8"/>
      <c r="F181" s="8"/>
      <c r="G181" s="8"/>
      <c r="H181" s="8"/>
      <c r="K181" s="4"/>
    </row>
    <row r="182" spans="1:11" ht="30" customHeight="1" x14ac:dyDescent="0.25">
      <c r="A182" s="91">
        <v>44113</v>
      </c>
      <c r="B182" s="92"/>
      <c r="C182" s="92"/>
      <c r="D182" s="92"/>
      <c r="E182" s="92"/>
      <c r="F182" s="92"/>
      <c r="G182" s="92"/>
      <c r="H182" s="93"/>
      <c r="K182" s="4"/>
    </row>
    <row r="183" spans="1:11" s="7" customFormat="1" ht="30" customHeight="1" x14ac:dyDescent="0.3">
      <c r="A183" s="70" t="s">
        <v>38</v>
      </c>
      <c r="B183" s="70" t="s">
        <v>39</v>
      </c>
      <c r="C183" s="70" t="s">
        <v>40</v>
      </c>
      <c r="D183" s="70" t="s">
        <v>41</v>
      </c>
      <c r="E183" s="70" t="s">
        <v>42</v>
      </c>
      <c r="F183" s="70" t="s">
        <v>43</v>
      </c>
      <c r="G183" s="70" t="s">
        <v>44</v>
      </c>
      <c r="H183" s="70" t="s">
        <v>45</v>
      </c>
      <c r="K183" s="4"/>
    </row>
    <row r="184" spans="1:11" ht="30" customHeight="1" x14ac:dyDescent="0.25">
      <c r="A184" s="2" t="s">
        <v>3</v>
      </c>
      <c r="B184" s="2" t="s">
        <v>318</v>
      </c>
      <c r="C184" s="8"/>
      <c r="D184" s="8"/>
      <c r="E184" s="8"/>
      <c r="F184" s="8"/>
      <c r="G184" s="8"/>
      <c r="H184" s="8"/>
      <c r="K184" s="4"/>
    </row>
    <row r="185" spans="1:11" ht="30" customHeight="1" x14ac:dyDescent="0.25">
      <c r="A185" s="2" t="s">
        <v>6</v>
      </c>
      <c r="B185" s="2" t="s">
        <v>319</v>
      </c>
      <c r="C185" s="8"/>
      <c r="D185" s="8"/>
      <c r="E185" s="8"/>
      <c r="F185" s="8"/>
      <c r="G185" s="8"/>
      <c r="H185" s="8"/>
      <c r="K185" s="4"/>
    </row>
    <row r="186" spans="1:11" ht="30" customHeight="1" x14ac:dyDescent="0.25">
      <c r="A186" s="2" t="s">
        <v>9</v>
      </c>
      <c r="B186" s="2" t="s">
        <v>322</v>
      </c>
      <c r="C186" s="8"/>
      <c r="D186" s="8"/>
      <c r="E186" s="8"/>
      <c r="F186" s="8"/>
      <c r="G186" s="8"/>
      <c r="H186" s="8"/>
      <c r="K186" s="4"/>
    </row>
    <row r="187" spans="1:11" ht="30" customHeight="1" x14ac:dyDescent="0.25">
      <c r="A187" s="2" t="s">
        <v>12</v>
      </c>
      <c r="B187" s="2" t="s">
        <v>320</v>
      </c>
      <c r="C187" s="8"/>
      <c r="D187" s="8"/>
      <c r="E187" s="8"/>
      <c r="F187" s="8"/>
      <c r="G187" s="8"/>
      <c r="H187" s="8"/>
      <c r="K187" s="4"/>
    </row>
    <row r="188" spans="1:11" ht="30" customHeight="1" x14ac:dyDescent="0.25">
      <c r="A188" s="2" t="s">
        <v>14</v>
      </c>
      <c r="B188" s="2" t="s">
        <v>325</v>
      </c>
      <c r="C188" s="8"/>
      <c r="D188" s="8"/>
      <c r="E188" s="8"/>
      <c r="F188" s="8"/>
      <c r="G188" s="8"/>
      <c r="H188" s="8"/>
      <c r="K188" s="4"/>
    </row>
    <row r="189" spans="1:11" ht="30" customHeight="1" x14ac:dyDescent="0.25">
      <c r="A189" s="2" t="s">
        <v>16</v>
      </c>
      <c r="B189" s="2" t="s">
        <v>321</v>
      </c>
      <c r="C189" s="8"/>
      <c r="D189" s="8"/>
      <c r="E189" s="8"/>
      <c r="F189" s="8"/>
      <c r="G189" s="8"/>
      <c r="H189" s="8"/>
      <c r="K189" s="4"/>
    </row>
    <row r="190" spans="1:11" ht="30" customHeight="1" x14ac:dyDescent="0.25">
      <c r="A190" s="2" t="s">
        <v>18</v>
      </c>
      <c r="B190" s="2" t="s">
        <v>326</v>
      </c>
      <c r="C190" s="8"/>
      <c r="D190" s="8"/>
      <c r="E190" s="8"/>
      <c r="F190" s="8"/>
      <c r="G190" s="8"/>
      <c r="H190" s="8"/>
      <c r="K190" s="4"/>
    </row>
    <row r="191" spans="1:11" ht="30" customHeight="1" x14ac:dyDescent="0.25">
      <c r="A191" s="2" t="s">
        <v>71</v>
      </c>
      <c r="B191" s="2" t="s">
        <v>323</v>
      </c>
      <c r="C191" s="8"/>
      <c r="D191" s="8"/>
      <c r="E191" s="8"/>
      <c r="F191" s="8"/>
      <c r="G191" s="8"/>
      <c r="H191" s="8"/>
      <c r="K191" s="4"/>
    </row>
    <row r="192" spans="1:11" ht="30" customHeight="1" x14ac:dyDescent="0.25">
      <c r="A192" s="91">
        <v>44116</v>
      </c>
      <c r="B192" s="92"/>
      <c r="C192" s="92"/>
      <c r="D192" s="92"/>
      <c r="E192" s="92"/>
      <c r="F192" s="92"/>
      <c r="G192" s="92"/>
      <c r="H192" s="93"/>
      <c r="K192" s="4"/>
    </row>
    <row r="193" spans="1:11" s="7" customFormat="1" ht="30" customHeight="1" x14ac:dyDescent="0.3">
      <c r="A193" s="70" t="s">
        <v>38</v>
      </c>
      <c r="B193" s="70" t="s">
        <v>39</v>
      </c>
      <c r="C193" s="70" t="s">
        <v>40</v>
      </c>
      <c r="D193" s="70" t="s">
        <v>41</v>
      </c>
      <c r="E193" s="70" t="s">
        <v>42</v>
      </c>
      <c r="F193" s="70" t="s">
        <v>43</v>
      </c>
      <c r="G193" s="70" t="s">
        <v>44</v>
      </c>
      <c r="H193" s="70" t="s">
        <v>45</v>
      </c>
      <c r="K193" s="4"/>
    </row>
    <row r="194" spans="1:11" ht="30" customHeight="1" x14ac:dyDescent="0.25">
      <c r="A194" s="2" t="s">
        <v>3</v>
      </c>
      <c r="B194" s="2" t="s">
        <v>324</v>
      </c>
      <c r="C194" s="8"/>
      <c r="D194" s="8"/>
      <c r="E194" s="8"/>
      <c r="F194" s="8"/>
      <c r="G194" s="8"/>
      <c r="H194" s="8"/>
      <c r="K194" s="4"/>
    </row>
    <row r="195" spans="1:11" ht="30" customHeight="1" x14ac:dyDescent="0.25">
      <c r="A195" s="2" t="s">
        <v>6</v>
      </c>
      <c r="B195" s="2" t="s">
        <v>329</v>
      </c>
      <c r="C195" s="8"/>
      <c r="D195" s="8"/>
      <c r="E195" s="8"/>
      <c r="F195" s="8"/>
      <c r="G195" s="8"/>
      <c r="H195" s="8"/>
      <c r="K195" s="4"/>
    </row>
    <row r="196" spans="1:11" ht="30" customHeight="1" x14ac:dyDescent="0.25">
      <c r="A196" s="2" t="s">
        <v>9</v>
      </c>
      <c r="B196" s="2" t="s">
        <v>327</v>
      </c>
      <c r="C196" s="8"/>
      <c r="D196" s="8"/>
      <c r="E196" s="8"/>
      <c r="F196" s="8"/>
      <c r="G196" s="8"/>
      <c r="H196" s="8"/>
      <c r="K196" s="4"/>
    </row>
    <row r="197" spans="1:11" ht="30" customHeight="1" x14ac:dyDescent="0.25">
      <c r="A197" s="2" t="s">
        <v>12</v>
      </c>
      <c r="B197" s="2" t="s">
        <v>330</v>
      </c>
      <c r="C197" s="8"/>
      <c r="D197" s="8"/>
      <c r="E197" s="8"/>
      <c r="F197" s="8"/>
      <c r="G197" s="8"/>
      <c r="H197" s="8"/>
      <c r="K197" s="4"/>
    </row>
    <row r="198" spans="1:11" ht="30" customHeight="1" x14ac:dyDescent="0.25">
      <c r="A198" s="2" t="s">
        <v>14</v>
      </c>
      <c r="B198" s="2" t="s">
        <v>328</v>
      </c>
      <c r="C198" s="8"/>
      <c r="D198" s="8"/>
      <c r="E198" s="8"/>
      <c r="F198" s="8"/>
      <c r="G198" s="8"/>
      <c r="H198" s="8"/>
      <c r="K198" s="4"/>
    </row>
    <row r="199" spans="1:11" ht="30" customHeight="1" x14ac:dyDescent="0.25">
      <c r="A199" s="2" t="s">
        <v>16</v>
      </c>
      <c r="B199" s="2" t="s">
        <v>331</v>
      </c>
      <c r="C199" s="8"/>
      <c r="D199" s="8"/>
      <c r="E199" s="8"/>
      <c r="F199" s="8"/>
      <c r="G199" s="8"/>
      <c r="H199" s="8"/>
      <c r="K199" s="4"/>
    </row>
    <row r="200" spans="1:11" ht="30" customHeight="1" x14ac:dyDescent="0.25">
      <c r="A200" s="2" t="s">
        <v>18</v>
      </c>
      <c r="B200" s="2" t="s">
        <v>254</v>
      </c>
      <c r="C200" s="8"/>
      <c r="D200" s="8"/>
      <c r="E200" s="8"/>
      <c r="F200" s="8"/>
      <c r="G200" s="8"/>
      <c r="H200" s="8"/>
      <c r="K200" s="4"/>
    </row>
    <row r="201" spans="1:11" ht="30" customHeight="1" x14ac:dyDescent="0.25">
      <c r="A201" s="2" t="s">
        <v>71</v>
      </c>
      <c r="B201" s="2" t="s">
        <v>332</v>
      </c>
      <c r="C201" s="8"/>
      <c r="D201" s="8"/>
      <c r="E201" s="8"/>
      <c r="F201" s="8"/>
      <c r="G201" s="8"/>
      <c r="H201" s="8"/>
      <c r="K201" s="4"/>
    </row>
    <row r="202" spans="1:11" ht="30" customHeight="1" x14ac:dyDescent="0.25">
      <c r="A202" s="91">
        <v>44118</v>
      </c>
      <c r="B202" s="92"/>
      <c r="C202" s="92"/>
      <c r="D202" s="92"/>
      <c r="E202" s="92"/>
      <c r="F202" s="92"/>
      <c r="G202" s="92"/>
      <c r="H202" s="93"/>
      <c r="K202" s="4"/>
    </row>
    <row r="203" spans="1:11" s="7" customFormat="1" ht="30" customHeight="1" x14ac:dyDescent="0.3">
      <c r="A203" s="70" t="s">
        <v>38</v>
      </c>
      <c r="B203" s="70" t="s">
        <v>39</v>
      </c>
      <c r="C203" s="70" t="s">
        <v>40</v>
      </c>
      <c r="D203" s="70" t="s">
        <v>41</v>
      </c>
      <c r="E203" s="70" t="s">
        <v>42</v>
      </c>
      <c r="F203" s="70" t="s">
        <v>43</v>
      </c>
      <c r="G203" s="70" t="s">
        <v>44</v>
      </c>
      <c r="H203" s="70" t="s">
        <v>45</v>
      </c>
      <c r="K203" s="4"/>
    </row>
    <row r="204" spans="1:11" ht="30" customHeight="1" x14ac:dyDescent="0.25">
      <c r="A204" s="2" t="s">
        <v>3</v>
      </c>
      <c r="B204" s="2" t="s">
        <v>333</v>
      </c>
      <c r="C204" s="8"/>
      <c r="D204" s="8"/>
      <c r="E204" s="8"/>
      <c r="F204" s="8"/>
      <c r="G204" s="8"/>
      <c r="H204" s="8"/>
      <c r="K204" s="4"/>
    </row>
    <row r="205" spans="1:11" ht="30" customHeight="1" x14ac:dyDescent="0.25">
      <c r="A205" s="2" t="s">
        <v>6</v>
      </c>
      <c r="B205" s="2" t="s">
        <v>257</v>
      </c>
      <c r="C205" s="8"/>
      <c r="D205" s="8"/>
      <c r="E205" s="8"/>
      <c r="F205" s="8"/>
      <c r="G205" s="8"/>
      <c r="H205" s="8"/>
      <c r="K205" s="4"/>
    </row>
    <row r="206" spans="1:11" ht="30" customHeight="1" x14ac:dyDescent="0.25">
      <c r="A206" s="2" t="s">
        <v>9</v>
      </c>
      <c r="B206" s="2" t="s">
        <v>255</v>
      </c>
      <c r="C206" s="8"/>
      <c r="D206" s="8"/>
      <c r="E206" s="8"/>
      <c r="F206" s="8"/>
      <c r="G206" s="8"/>
      <c r="H206" s="8"/>
      <c r="K206" s="4"/>
    </row>
    <row r="207" spans="1:11" ht="30" customHeight="1" x14ac:dyDescent="0.25">
      <c r="A207" s="2" t="s">
        <v>12</v>
      </c>
      <c r="B207" s="2" t="s">
        <v>258</v>
      </c>
      <c r="C207" s="8"/>
      <c r="D207" s="8"/>
      <c r="E207" s="8"/>
      <c r="F207" s="8"/>
      <c r="G207" s="8"/>
      <c r="H207" s="8"/>
      <c r="K207" s="4"/>
    </row>
    <row r="208" spans="1:11" ht="30" customHeight="1" x14ac:dyDescent="0.25">
      <c r="A208" s="2" t="s">
        <v>14</v>
      </c>
      <c r="B208" s="2" t="s">
        <v>256</v>
      </c>
      <c r="C208" s="8"/>
      <c r="D208" s="8"/>
      <c r="E208" s="8"/>
      <c r="F208" s="8"/>
      <c r="G208" s="8"/>
      <c r="H208" s="8"/>
      <c r="K208" s="4"/>
    </row>
    <row r="209" spans="1:11" ht="30" customHeight="1" x14ac:dyDescent="0.25">
      <c r="A209" s="2" t="s">
        <v>16</v>
      </c>
      <c r="B209" s="2" t="s">
        <v>271</v>
      </c>
      <c r="C209" s="8"/>
      <c r="D209" s="8"/>
      <c r="E209" s="8"/>
      <c r="F209" s="8"/>
      <c r="G209" s="8"/>
      <c r="H209" s="8"/>
      <c r="K209" s="4"/>
    </row>
    <row r="210" spans="1:11" ht="30" customHeight="1" x14ac:dyDescent="0.25">
      <c r="A210" s="2" t="s">
        <v>18</v>
      </c>
      <c r="B210" s="2" t="s">
        <v>259</v>
      </c>
      <c r="C210" s="8"/>
      <c r="D210" s="8"/>
      <c r="E210" s="8"/>
      <c r="F210" s="8"/>
      <c r="G210" s="8"/>
      <c r="H210" s="8"/>
      <c r="K210" s="4"/>
    </row>
    <row r="211" spans="1:11" ht="30" customHeight="1" x14ac:dyDescent="0.25">
      <c r="A211" s="2" t="s">
        <v>71</v>
      </c>
      <c r="B211" s="2" t="s">
        <v>260</v>
      </c>
      <c r="C211" s="8"/>
      <c r="D211" s="8"/>
      <c r="E211" s="8"/>
      <c r="F211" s="8"/>
      <c r="G211" s="8"/>
      <c r="H211" s="8"/>
      <c r="K211" s="4"/>
    </row>
    <row r="212" spans="1:11" ht="30" customHeight="1" x14ac:dyDescent="0.25">
      <c r="A212" s="91">
        <v>44120</v>
      </c>
      <c r="B212" s="92"/>
      <c r="C212" s="92"/>
      <c r="D212" s="92"/>
      <c r="E212" s="92"/>
      <c r="F212" s="92"/>
      <c r="G212" s="92"/>
      <c r="H212" s="93"/>
      <c r="K212" s="4"/>
    </row>
    <row r="213" spans="1:11" s="7" customFormat="1" ht="30" customHeight="1" x14ac:dyDescent="0.3">
      <c r="A213" s="70" t="s">
        <v>38</v>
      </c>
      <c r="B213" s="70" t="s">
        <v>39</v>
      </c>
      <c r="C213" s="70" t="s">
        <v>40</v>
      </c>
      <c r="D213" s="70" t="s">
        <v>41</v>
      </c>
      <c r="E213" s="70" t="s">
        <v>42</v>
      </c>
      <c r="F213" s="70" t="s">
        <v>43</v>
      </c>
      <c r="G213" s="70" t="s">
        <v>44</v>
      </c>
      <c r="H213" s="70" t="s">
        <v>45</v>
      </c>
      <c r="K213" s="4"/>
    </row>
    <row r="214" spans="1:11" ht="30" customHeight="1" x14ac:dyDescent="0.25">
      <c r="A214" s="2" t="s">
        <v>3</v>
      </c>
      <c r="B214" s="2" t="s">
        <v>261</v>
      </c>
      <c r="C214" s="8"/>
      <c r="D214" s="8"/>
      <c r="E214" s="8"/>
      <c r="F214" s="8"/>
      <c r="G214" s="8"/>
      <c r="H214" s="8"/>
      <c r="K214" s="4"/>
    </row>
    <row r="215" spans="1:11" ht="30" customHeight="1" x14ac:dyDescent="0.25">
      <c r="A215" s="2" t="s">
        <v>6</v>
      </c>
      <c r="B215" s="2" t="s">
        <v>272</v>
      </c>
      <c r="C215" s="8"/>
      <c r="D215" s="8"/>
      <c r="E215" s="8"/>
      <c r="F215" s="8"/>
      <c r="G215" s="8"/>
      <c r="H215" s="8"/>
      <c r="K215" s="4"/>
    </row>
    <row r="216" spans="1:11" ht="30" customHeight="1" x14ac:dyDescent="0.25">
      <c r="A216" s="2" t="s">
        <v>9</v>
      </c>
      <c r="B216" s="2" t="s">
        <v>262</v>
      </c>
      <c r="C216" s="8"/>
      <c r="D216" s="8"/>
      <c r="E216" s="8"/>
      <c r="F216" s="8"/>
      <c r="G216" s="8"/>
      <c r="H216" s="8"/>
      <c r="K216" s="4"/>
    </row>
    <row r="217" spans="1:11" ht="30" customHeight="1" x14ac:dyDescent="0.25">
      <c r="A217" s="2" t="s">
        <v>12</v>
      </c>
      <c r="B217" s="2" t="s">
        <v>273</v>
      </c>
      <c r="C217" s="8"/>
      <c r="D217" s="8"/>
      <c r="E217" s="8"/>
      <c r="F217" s="8"/>
      <c r="G217" s="8"/>
      <c r="H217" s="8"/>
      <c r="K217" s="4"/>
    </row>
    <row r="218" spans="1:11" ht="30" customHeight="1" x14ac:dyDescent="0.25">
      <c r="A218" s="2" t="s">
        <v>14</v>
      </c>
      <c r="B218" s="2" t="s">
        <v>263</v>
      </c>
      <c r="C218" s="8"/>
      <c r="D218" s="8"/>
      <c r="E218" s="8"/>
      <c r="F218" s="8"/>
      <c r="G218" s="8"/>
      <c r="H218" s="8"/>
      <c r="K218" s="4"/>
    </row>
    <row r="219" spans="1:11" ht="30" customHeight="1" x14ac:dyDescent="0.25">
      <c r="A219" s="2" t="s">
        <v>16</v>
      </c>
      <c r="B219" s="2" t="s">
        <v>274</v>
      </c>
      <c r="C219" s="8"/>
      <c r="D219" s="8"/>
      <c r="E219" s="8"/>
      <c r="F219" s="8"/>
      <c r="G219" s="8"/>
      <c r="H219" s="8"/>
      <c r="K219" s="4"/>
    </row>
    <row r="220" spans="1:11" ht="30" customHeight="1" x14ac:dyDescent="0.25">
      <c r="A220" s="2" t="s">
        <v>18</v>
      </c>
      <c r="B220" s="2" t="s">
        <v>264</v>
      </c>
      <c r="C220" s="8"/>
      <c r="D220" s="8"/>
      <c r="E220" s="8"/>
      <c r="F220" s="8"/>
      <c r="G220" s="8"/>
      <c r="H220" s="8"/>
      <c r="K220" s="4"/>
    </row>
    <row r="221" spans="1:11" ht="30" customHeight="1" x14ac:dyDescent="0.25">
      <c r="A221" s="2" t="s">
        <v>71</v>
      </c>
      <c r="B221" s="2" t="s">
        <v>265</v>
      </c>
      <c r="C221" s="8"/>
      <c r="D221" s="8"/>
      <c r="E221" s="8"/>
      <c r="F221" s="8"/>
      <c r="G221" s="8"/>
      <c r="H221" s="8"/>
      <c r="K221" s="4"/>
    </row>
    <row r="222" spans="1:11" ht="30" customHeight="1" x14ac:dyDescent="0.25">
      <c r="A222" s="91">
        <v>44123</v>
      </c>
      <c r="B222" s="92"/>
      <c r="C222" s="92"/>
      <c r="D222" s="92"/>
      <c r="E222" s="92"/>
      <c r="F222" s="92"/>
      <c r="G222" s="92"/>
      <c r="H222" s="93"/>
      <c r="K222" s="4"/>
    </row>
    <row r="223" spans="1:11" s="7" customFormat="1" ht="30" customHeight="1" x14ac:dyDescent="0.3">
      <c r="A223" s="70" t="s">
        <v>38</v>
      </c>
      <c r="B223" s="70" t="s">
        <v>39</v>
      </c>
      <c r="C223" s="70" t="s">
        <v>40</v>
      </c>
      <c r="D223" s="70" t="s">
        <v>41</v>
      </c>
      <c r="E223" s="70" t="s">
        <v>42</v>
      </c>
      <c r="F223" s="70" t="s">
        <v>43</v>
      </c>
      <c r="G223" s="70" t="s">
        <v>44</v>
      </c>
      <c r="H223" s="70" t="s">
        <v>45</v>
      </c>
      <c r="K223" s="4"/>
    </row>
    <row r="224" spans="1:11" ht="30" customHeight="1" x14ac:dyDescent="0.25">
      <c r="A224" s="2" t="s">
        <v>3</v>
      </c>
      <c r="B224" s="2" t="s">
        <v>266</v>
      </c>
      <c r="C224" s="8"/>
      <c r="D224" s="8"/>
      <c r="E224" s="8"/>
      <c r="F224" s="8"/>
      <c r="G224" s="8"/>
      <c r="H224" s="8"/>
      <c r="K224" s="4"/>
    </row>
    <row r="225" spans="1:11" ht="30" customHeight="1" x14ac:dyDescent="0.25">
      <c r="A225" s="2" t="s">
        <v>6</v>
      </c>
      <c r="B225" s="2" t="s">
        <v>275</v>
      </c>
      <c r="C225" s="8"/>
      <c r="D225" s="8"/>
      <c r="E225" s="8"/>
      <c r="F225" s="8"/>
      <c r="G225" s="8"/>
      <c r="H225" s="8"/>
      <c r="K225" s="4"/>
    </row>
    <row r="226" spans="1:11" ht="30" customHeight="1" x14ac:dyDescent="0.25">
      <c r="A226" s="2" t="s">
        <v>9</v>
      </c>
      <c r="B226" s="2" t="s">
        <v>267</v>
      </c>
      <c r="C226" s="8"/>
      <c r="D226" s="8"/>
      <c r="E226" s="8"/>
      <c r="F226" s="8"/>
      <c r="G226" s="8"/>
      <c r="H226" s="8"/>
      <c r="K226" s="4"/>
    </row>
    <row r="227" spans="1:11" ht="30" customHeight="1" x14ac:dyDescent="0.25">
      <c r="A227" s="2" t="s">
        <v>12</v>
      </c>
      <c r="B227" s="2" t="s">
        <v>276</v>
      </c>
      <c r="C227" s="8"/>
      <c r="D227" s="8"/>
      <c r="E227" s="8"/>
      <c r="F227" s="8"/>
      <c r="G227" s="8"/>
      <c r="H227" s="8"/>
      <c r="K227" s="4"/>
    </row>
    <row r="228" spans="1:11" ht="30" customHeight="1" x14ac:dyDescent="0.25">
      <c r="A228" s="2" t="s">
        <v>14</v>
      </c>
      <c r="B228" s="2" t="s">
        <v>268</v>
      </c>
      <c r="C228" s="8"/>
      <c r="D228" s="8"/>
      <c r="E228" s="8"/>
      <c r="F228" s="8"/>
      <c r="G228" s="8"/>
      <c r="H228" s="8"/>
      <c r="K228" s="4"/>
    </row>
    <row r="229" spans="1:11" ht="30" customHeight="1" x14ac:dyDescent="0.25">
      <c r="A229" s="2" t="s">
        <v>16</v>
      </c>
      <c r="B229" s="2" t="s">
        <v>277</v>
      </c>
      <c r="C229" s="8"/>
      <c r="D229" s="8"/>
      <c r="E229" s="8"/>
      <c r="F229" s="8"/>
      <c r="G229" s="8"/>
      <c r="H229" s="8"/>
      <c r="K229" s="4"/>
    </row>
    <row r="230" spans="1:11" ht="30" customHeight="1" x14ac:dyDescent="0.25">
      <c r="A230" s="2" t="s">
        <v>18</v>
      </c>
      <c r="B230" s="2" t="s">
        <v>269</v>
      </c>
      <c r="C230" s="8"/>
      <c r="D230" s="8"/>
      <c r="E230" s="8"/>
      <c r="F230" s="8"/>
      <c r="G230" s="8"/>
      <c r="H230" s="8"/>
      <c r="K230" s="4"/>
    </row>
    <row r="231" spans="1:11" ht="30" customHeight="1" x14ac:dyDescent="0.25">
      <c r="A231" s="2" t="s">
        <v>71</v>
      </c>
      <c r="B231" s="2" t="s">
        <v>270</v>
      </c>
      <c r="C231" s="8"/>
      <c r="D231" s="8"/>
      <c r="E231" s="8"/>
      <c r="F231" s="8"/>
      <c r="G231" s="8"/>
      <c r="H231" s="8"/>
      <c r="K231" s="4"/>
    </row>
    <row r="232" spans="1:11" ht="30" customHeight="1" x14ac:dyDescent="0.25">
      <c r="A232" s="91">
        <v>44125</v>
      </c>
      <c r="B232" s="92"/>
      <c r="C232" s="92"/>
      <c r="D232" s="92"/>
      <c r="E232" s="92"/>
      <c r="F232" s="92"/>
      <c r="G232" s="92"/>
      <c r="H232" s="93"/>
      <c r="K232" s="4"/>
    </row>
    <row r="233" spans="1:11" s="7" customFormat="1" ht="30" customHeight="1" x14ac:dyDescent="0.3">
      <c r="A233" s="70" t="s">
        <v>38</v>
      </c>
      <c r="B233" s="70" t="s">
        <v>39</v>
      </c>
      <c r="C233" s="70" t="s">
        <v>40</v>
      </c>
      <c r="D233" s="70" t="s">
        <v>41</v>
      </c>
      <c r="E233" s="70" t="s">
        <v>42</v>
      </c>
      <c r="F233" s="70" t="s">
        <v>43</v>
      </c>
      <c r="G233" s="70" t="s">
        <v>44</v>
      </c>
      <c r="H233" s="70" t="s">
        <v>45</v>
      </c>
      <c r="K233" s="4"/>
    </row>
    <row r="234" spans="1:11" ht="30" customHeight="1" x14ac:dyDescent="0.25">
      <c r="A234" s="2" t="s">
        <v>3</v>
      </c>
      <c r="B234" s="2" t="s">
        <v>278</v>
      </c>
      <c r="C234" s="8"/>
      <c r="D234" s="8"/>
      <c r="E234" s="8"/>
      <c r="F234" s="8"/>
      <c r="G234" s="8"/>
      <c r="H234" s="8"/>
      <c r="K234" s="4"/>
    </row>
    <row r="235" spans="1:11" ht="30" customHeight="1" x14ac:dyDescent="0.25">
      <c r="A235" s="2" t="s">
        <v>6</v>
      </c>
      <c r="B235" s="2" t="s">
        <v>279</v>
      </c>
      <c r="C235" s="8"/>
      <c r="D235" s="8"/>
      <c r="E235" s="8"/>
      <c r="F235" s="8"/>
      <c r="G235" s="8"/>
      <c r="H235" s="8"/>
      <c r="K235" s="4"/>
    </row>
    <row r="236" spans="1:11" ht="30" customHeight="1" x14ac:dyDescent="0.25">
      <c r="A236" s="2" t="s">
        <v>9</v>
      </c>
      <c r="B236" s="2" t="s">
        <v>284</v>
      </c>
      <c r="C236" s="8"/>
      <c r="D236" s="8"/>
      <c r="E236" s="8"/>
      <c r="F236" s="8"/>
      <c r="G236" s="8"/>
      <c r="H236" s="8"/>
      <c r="K236" s="4"/>
    </row>
    <row r="237" spans="1:11" ht="30" customHeight="1" x14ac:dyDescent="0.25">
      <c r="A237" s="2" t="s">
        <v>12</v>
      </c>
      <c r="B237" s="2" t="s">
        <v>280</v>
      </c>
      <c r="C237" s="8"/>
      <c r="D237" s="8"/>
      <c r="E237" s="8"/>
      <c r="F237" s="8"/>
      <c r="G237" s="8"/>
      <c r="H237" s="8"/>
      <c r="K237" s="4"/>
    </row>
    <row r="238" spans="1:11" ht="30" customHeight="1" x14ac:dyDescent="0.25">
      <c r="A238" s="2" t="s">
        <v>14</v>
      </c>
      <c r="B238" s="2" t="s">
        <v>285</v>
      </c>
      <c r="C238" s="8"/>
      <c r="D238" s="8"/>
      <c r="E238" s="8"/>
      <c r="F238" s="8"/>
      <c r="G238" s="8"/>
      <c r="H238" s="8"/>
      <c r="K238" s="4"/>
    </row>
    <row r="239" spans="1:11" ht="30" customHeight="1" x14ac:dyDescent="0.25">
      <c r="A239" s="2" t="s">
        <v>16</v>
      </c>
      <c r="B239" s="2" t="s">
        <v>281</v>
      </c>
      <c r="C239" s="8"/>
      <c r="D239" s="8"/>
      <c r="E239" s="8"/>
      <c r="F239" s="8"/>
      <c r="G239" s="8"/>
      <c r="H239" s="8"/>
      <c r="K239" s="4"/>
    </row>
    <row r="240" spans="1:11" ht="30" customHeight="1" x14ac:dyDescent="0.25">
      <c r="A240" s="2" t="s">
        <v>18</v>
      </c>
      <c r="B240" s="2" t="s">
        <v>287</v>
      </c>
      <c r="C240" s="8"/>
      <c r="D240" s="8"/>
      <c r="E240" s="8"/>
      <c r="F240" s="8"/>
      <c r="G240" s="8"/>
      <c r="H240" s="8"/>
      <c r="K240" s="4"/>
    </row>
    <row r="241" spans="1:11" ht="30" customHeight="1" x14ac:dyDescent="0.25">
      <c r="A241" s="2" t="s">
        <v>71</v>
      </c>
      <c r="B241" s="2" t="s">
        <v>282</v>
      </c>
      <c r="C241" s="8"/>
      <c r="D241" s="8"/>
      <c r="E241" s="8"/>
      <c r="F241" s="8"/>
      <c r="G241" s="8"/>
      <c r="H241" s="8"/>
      <c r="K241" s="4"/>
    </row>
    <row r="242" spans="1:11" ht="30" customHeight="1" x14ac:dyDescent="0.25">
      <c r="A242" s="91">
        <v>44127</v>
      </c>
      <c r="B242" s="92"/>
      <c r="C242" s="92"/>
      <c r="D242" s="92"/>
      <c r="E242" s="92"/>
      <c r="F242" s="92"/>
      <c r="G242" s="92"/>
      <c r="H242" s="93"/>
      <c r="K242" s="4"/>
    </row>
    <row r="243" spans="1:11" s="7" customFormat="1" ht="30" customHeight="1" x14ac:dyDescent="0.3">
      <c r="A243" s="70" t="s">
        <v>38</v>
      </c>
      <c r="B243" s="70" t="s">
        <v>39</v>
      </c>
      <c r="C243" s="70" t="s">
        <v>40</v>
      </c>
      <c r="D243" s="70" t="s">
        <v>41</v>
      </c>
      <c r="E243" s="70" t="s">
        <v>42</v>
      </c>
      <c r="F243" s="70" t="s">
        <v>43</v>
      </c>
      <c r="G243" s="70" t="s">
        <v>44</v>
      </c>
      <c r="H243" s="70" t="s">
        <v>45</v>
      </c>
      <c r="K243" s="4"/>
    </row>
    <row r="244" spans="1:11" ht="30" customHeight="1" x14ac:dyDescent="0.25">
      <c r="A244" s="2" t="s">
        <v>3</v>
      </c>
      <c r="B244" s="2" t="s">
        <v>283</v>
      </c>
      <c r="C244" s="8"/>
      <c r="D244" s="8"/>
      <c r="E244" s="8"/>
      <c r="F244" s="8"/>
      <c r="G244" s="8"/>
      <c r="H244" s="8"/>
      <c r="K244" s="4"/>
    </row>
    <row r="245" spans="1:11" ht="30" customHeight="1" x14ac:dyDescent="0.25">
      <c r="A245" s="2" t="s">
        <v>6</v>
      </c>
      <c r="B245" s="2" t="s">
        <v>286</v>
      </c>
      <c r="C245" s="8"/>
      <c r="D245" s="8"/>
      <c r="E245" s="8"/>
      <c r="F245" s="8"/>
      <c r="G245" s="8"/>
      <c r="H245" s="8"/>
      <c r="K245" s="4"/>
    </row>
    <row r="246" spans="1:11" ht="30" customHeight="1" x14ac:dyDescent="0.25">
      <c r="A246" s="2" t="s">
        <v>9</v>
      </c>
      <c r="B246" s="2" t="s">
        <v>288</v>
      </c>
      <c r="C246" s="8"/>
      <c r="D246" s="8"/>
      <c r="E246" s="8"/>
      <c r="F246" s="8"/>
      <c r="G246" s="8"/>
      <c r="H246" s="8"/>
      <c r="K246" s="4"/>
    </row>
    <row r="247" spans="1:11" ht="30" customHeight="1" x14ac:dyDescent="0.25">
      <c r="A247" s="2" t="s">
        <v>12</v>
      </c>
      <c r="B247" s="2" t="s">
        <v>295</v>
      </c>
      <c r="C247" s="8"/>
      <c r="D247" s="8"/>
      <c r="E247" s="8"/>
      <c r="F247" s="8"/>
      <c r="G247" s="8"/>
      <c r="H247" s="8"/>
      <c r="K247" s="4"/>
    </row>
    <row r="248" spans="1:11" ht="30" customHeight="1" x14ac:dyDescent="0.25">
      <c r="A248" s="2" t="s">
        <v>14</v>
      </c>
      <c r="B248" s="2" t="s">
        <v>289</v>
      </c>
      <c r="C248" s="8"/>
      <c r="D248" s="8"/>
      <c r="E248" s="8"/>
      <c r="F248" s="8"/>
      <c r="G248" s="8"/>
      <c r="H248" s="8"/>
      <c r="K248" s="4"/>
    </row>
    <row r="249" spans="1:11" ht="30" customHeight="1" x14ac:dyDescent="0.25">
      <c r="A249" s="2" t="s">
        <v>16</v>
      </c>
      <c r="B249" s="2" t="s">
        <v>296</v>
      </c>
      <c r="C249" s="8"/>
      <c r="D249" s="8"/>
      <c r="E249" s="8"/>
      <c r="F249" s="8"/>
      <c r="G249" s="8"/>
      <c r="H249" s="8"/>
      <c r="K249" s="4"/>
    </row>
    <row r="250" spans="1:11" ht="30" customHeight="1" x14ac:dyDescent="0.25">
      <c r="A250" s="2" t="s">
        <v>18</v>
      </c>
      <c r="B250" s="2" t="s">
        <v>290</v>
      </c>
      <c r="C250" s="8"/>
      <c r="D250" s="8"/>
      <c r="E250" s="8"/>
      <c r="F250" s="8"/>
      <c r="G250" s="8"/>
      <c r="H250" s="8"/>
      <c r="K250" s="4"/>
    </row>
    <row r="251" spans="1:11" ht="30" customHeight="1" x14ac:dyDescent="0.25">
      <c r="A251" s="2" t="s">
        <v>71</v>
      </c>
      <c r="B251" s="2" t="s">
        <v>291</v>
      </c>
      <c r="C251" s="8"/>
      <c r="D251" s="8"/>
      <c r="E251" s="8"/>
      <c r="F251" s="8"/>
      <c r="G251" s="8"/>
      <c r="H251" s="8"/>
      <c r="K251" s="4"/>
    </row>
    <row r="252" spans="1:11" ht="30" customHeight="1" x14ac:dyDescent="0.25">
      <c r="A252" s="91">
        <v>44130</v>
      </c>
      <c r="B252" s="92"/>
      <c r="C252" s="92"/>
      <c r="D252" s="92"/>
      <c r="E252" s="92"/>
      <c r="F252" s="92"/>
      <c r="G252" s="92"/>
      <c r="H252" s="93"/>
      <c r="K252" s="4"/>
    </row>
    <row r="253" spans="1:11" s="7" customFormat="1" ht="30" customHeight="1" x14ac:dyDescent="0.3">
      <c r="A253" s="70" t="s">
        <v>38</v>
      </c>
      <c r="B253" s="70" t="s">
        <v>39</v>
      </c>
      <c r="C253" s="70" t="s">
        <v>40</v>
      </c>
      <c r="D253" s="70" t="s">
        <v>41</v>
      </c>
      <c r="E253" s="70" t="s">
        <v>42</v>
      </c>
      <c r="F253" s="70" t="s">
        <v>43</v>
      </c>
      <c r="G253" s="70" t="s">
        <v>44</v>
      </c>
      <c r="H253" s="70" t="s">
        <v>45</v>
      </c>
      <c r="K253" s="4"/>
    </row>
    <row r="254" spans="1:11" ht="30" customHeight="1" x14ac:dyDescent="0.25">
      <c r="A254" s="2" t="s">
        <v>3</v>
      </c>
      <c r="B254" s="2" t="s">
        <v>292</v>
      </c>
      <c r="C254" s="8"/>
      <c r="D254" s="8"/>
      <c r="E254" s="8"/>
      <c r="F254" s="8"/>
      <c r="G254" s="8"/>
      <c r="H254" s="8"/>
      <c r="K254" s="4"/>
    </row>
    <row r="255" spans="1:11" ht="30" customHeight="1" x14ac:dyDescent="0.25">
      <c r="A255" s="2" t="s">
        <v>6</v>
      </c>
      <c r="B255" s="2" t="s">
        <v>297</v>
      </c>
      <c r="C255" s="8"/>
      <c r="D255" s="8"/>
      <c r="E255" s="8"/>
      <c r="F255" s="8"/>
      <c r="G255" s="8"/>
      <c r="H255" s="8"/>
      <c r="K255" s="4"/>
    </row>
    <row r="256" spans="1:11" ht="30" customHeight="1" x14ac:dyDescent="0.25">
      <c r="A256" s="2" t="s">
        <v>9</v>
      </c>
      <c r="B256" s="2" t="s">
        <v>293</v>
      </c>
      <c r="C256" s="8"/>
      <c r="D256" s="8"/>
      <c r="E256" s="8"/>
      <c r="F256" s="8"/>
      <c r="G256" s="8"/>
      <c r="H256" s="8"/>
      <c r="K256" s="4"/>
    </row>
    <row r="257" spans="1:11" ht="30" customHeight="1" x14ac:dyDescent="0.25">
      <c r="A257" s="2" t="s">
        <v>12</v>
      </c>
      <c r="B257" s="2" t="s">
        <v>303</v>
      </c>
      <c r="C257" s="8"/>
      <c r="D257" s="8"/>
      <c r="E257" s="8"/>
      <c r="F257" s="8"/>
      <c r="G257" s="8"/>
      <c r="H257" s="8"/>
      <c r="K257" s="4"/>
    </row>
    <row r="258" spans="1:11" ht="30" customHeight="1" x14ac:dyDescent="0.25">
      <c r="A258" s="2" t="s">
        <v>14</v>
      </c>
      <c r="B258" s="2" t="s">
        <v>294</v>
      </c>
      <c r="C258" s="8"/>
      <c r="D258" s="8"/>
      <c r="E258" s="8"/>
      <c r="F258" s="8"/>
      <c r="G258" s="8"/>
      <c r="H258" s="8"/>
      <c r="K258" s="4"/>
    </row>
    <row r="259" spans="1:11" ht="30" customHeight="1" x14ac:dyDescent="0.25">
      <c r="A259" s="2" t="s">
        <v>16</v>
      </c>
      <c r="B259" s="2" t="s">
        <v>304</v>
      </c>
      <c r="C259" s="8"/>
      <c r="D259" s="8"/>
      <c r="E259" s="8"/>
      <c r="F259" s="8"/>
      <c r="G259" s="8"/>
      <c r="H259" s="8"/>
      <c r="K259" s="4"/>
    </row>
    <row r="260" spans="1:11" ht="30" customHeight="1" x14ac:dyDescent="0.25">
      <c r="A260" s="2" t="s">
        <v>18</v>
      </c>
      <c r="B260" s="2" t="s">
        <v>298</v>
      </c>
      <c r="C260" s="8"/>
      <c r="D260" s="8"/>
      <c r="E260" s="8"/>
      <c r="F260" s="8"/>
      <c r="G260" s="8"/>
      <c r="H260" s="8"/>
      <c r="K260" s="4"/>
    </row>
    <row r="261" spans="1:11" ht="30" customHeight="1" x14ac:dyDescent="0.25">
      <c r="A261" s="2" t="s">
        <v>71</v>
      </c>
      <c r="B261" s="2" t="s">
        <v>299</v>
      </c>
      <c r="C261" s="8"/>
      <c r="D261" s="8"/>
      <c r="E261" s="8"/>
      <c r="F261" s="8"/>
      <c r="G261" s="8"/>
      <c r="H261" s="8"/>
      <c r="K261" s="4"/>
    </row>
    <row r="262" spans="1:11" ht="30" customHeight="1" x14ac:dyDescent="0.25">
      <c r="A262" s="91">
        <v>44132</v>
      </c>
      <c r="B262" s="92"/>
      <c r="C262" s="92"/>
      <c r="D262" s="92"/>
      <c r="E262" s="92"/>
      <c r="F262" s="92"/>
      <c r="G262" s="92"/>
      <c r="H262" s="93"/>
      <c r="K262" s="4"/>
    </row>
    <row r="263" spans="1:11" s="7" customFormat="1" ht="30" customHeight="1" x14ac:dyDescent="0.3">
      <c r="A263" s="70" t="s">
        <v>38</v>
      </c>
      <c r="B263" s="70" t="s">
        <v>39</v>
      </c>
      <c r="C263" s="70" t="s">
        <v>40</v>
      </c>
      <c r="D263" s="70" t="s">
        <v>41</v>
      </c>
      <c r="E263" s="70" t="s">
        <v>42</v>
      </c>
      <c r="F263" s="70" t="s">
        <v>43</v>
      </c>
      <c r="G263" s="70" t="s">
        <v>44</v>
      </c>
      <c r="H263" s="70" t="s">
        <v>45</v>
      </c>
      <c r="K263" s="4"/>
    </row>
    <row r="264" spans="1:11" ht="30" customHeight="1" x14ac:dyDescent="0.25">
      <c r="A264" s="2" t="s">
        <v>3</v>
      </c>
      <c r="B264" s="2" t="s">
        <v>300</v>
      </c>
      <c r="C264" s="8"/>
      <c r="D264" s="8"/>
      <c r="E264" s="8"/>
      <c r="F264" s="8"/>
      <c r="G264" s="8"/>
      <c r="H264" s="8"/>
      <c r="K264" s="4"/>
    </row>
    <row r="265" spans="1:11" ht="30" customHeight="1" x14ac:dyDescent="0.25">
      <c r="A265" s="2" t="s">
        <v>6</v>
      </c>
      <c r="B265" s="2" t="s">
        <v>305</v>
      </c>
      <c r="C265" s="8"/>
      <c r="D265" s="8"/>
      <c r="E265" s="8"/>
      <c r="F265" s="8"/>
      <c r="G265" s="8"/>
      <c r="H265" s="8"/>
      <c r="K265" s="4"/>
    </row>
    <row r="266" spans="1:11" ht="30" customHeight="1" x14ac:dyDescent="0.25">
      <c r="A266" s="2" t="s">
        <v>9</v>
      </c>
      <c r="B266" s="2" t="s">
        <v>301</v>
      </c>
      <c r="C266" s="8"/>
      <c r="D266" s="8"/>
      <c r="E266" s="8"/>
      <c r="F266" s="8"/>
      <c r="G266" s="8"/>
      <c r="H266" s="8"/>
      <c r="K266" s="4"/>
    </row>
    <row r="267" spans="1:11" ht="30" customHeight="1" x14ac:dyDescent="0.25">
      <c r="A267" s="2" t="s">
        <v>12</v>
      </c>
      <c r="B267" s="2" t="s">
        <v>306</v>
      </c>
      <c r="C267" s="8"/>
      <c r="D267" s="8"/>
      <c r="E267" s="8"/>
      <c r="F267" s="8"/>
      <c r="G267" s="8"/>
      <c r="H267" s="8"/>
      <c r="K267" s="4"/>
    </row>
    <row r="268" spans="1:11" ht="30" customHeight="1" x14ac:dyDescent="0.25">
      <c r="A268" s="2" t="s">
        <v>14</v>
      </c>
      <c r="B268" s="2" t="s">
        <v>302</v>
      </c>
      <c r="C268" s="8"/>
      <c r="D268" s="8"/>
      <c r="E268" s="8"/>
      <c r="F268" s="8"/>
      <c r="G268" s="8"/>
      <c r="H268" s="8"/>
      <c r="K268" s="4"/>
    </row>
    <row r="269" spans="1:11" ht="30" customHeight="1" x14ac:dyDescent="0.25">
      <c r="A269" s="2" t="s">
        <v>16</v>
      </c>
      <c r="B269" s="2" t="s">
        <v>307</v>
      </c>
      <c r="C269" s="8"/>
      <c r="D269" s="8"/>
      <c r="E269" s="8"/>
      <c r="F269" s="8"/>
      <c r="G269" s="8"/>
      <c r="H269" s="8"/>
      <c r="K269" s="4"/>
    </row>
    <row r="270" spans="1:11" ht="30" customHeight="1" x14ac:dyDescent="0.25">
      <c r="A270" s="2" t="s">
        <v>18</v>
      </c>
      <c r="B270" s="2" t="s">
        <v>309</v>
      </c>
      <c r="C270" s="8"/>
      <c r="D270" s="8"/>
      <c r="E270" s="8"/>
      <c r="F270" s="8"/>
      <c r="G270" s="8"/>
      <c r="H270" s="8"/>
      <c r="K270" s="4"/>
    </row>
    <row r="271" spans="1:11" ht="30" customHeight="1" x14ac:dyDescent="0.25">
      <c r="A271" s="2" t="s">
        <v>71</v>
      </c>
      <c r="B271" s="2" t="s">
        <v>308</v>
      </c>
      <c r="C271" s="8"/>
      <c r="D271" s="8"/>
      <c r="E271" s="8"/>
      <c r="F271" s="8"/>
      <c r="G271" s="8"/>
      <c r="H271" s="8"/>
      <c r="K271" s="4"/>
    </row>
    <row r="272" spans="1:11" ht="30" customHeight="1" x14ac:dyDescent="0.25">
      <c r="A272" s="91">
        <v>44134</v>
      </c>
      <c r="B272" s="92"/>
      <c r="C272" s="92"/>
      <c r="D272" s="92"/>
      <c r="E272" s="92"/>
      <c r="F272" s="92"/>
      <c r="G272" s="92"/>
      <c r="H272" s="93"/>
      <c r="K272" s="4"/>
    </row>
    <row r="273" spans="1:11" s="7" customFormat="1" ht="30" customHeight="1" x14ac:dyDescent="0.3">
      <c r="A273" s="70" t="s">
        <v>38</v>
      </c>
      <c r="B273" s="70" t="s">
        <v>39</v>
      </c>
      <c r="C273" s="70" t="s">
        <v>40</v>
      </c>
      <c r="D273" s="70" t="s">
        <v>41</v>
      </c>
      <c r="E273" s="70" t="s">
        <v>42</v>
      </c>
      <c r="F273" s="70" t="s">
        <v>43</v>
      </c>
      <c r="G273" s="70" t="s">
        <v>44</v>
      </c>
      <c r="H273" s="70" t="s">
        <v>45</v>
      </c>
      <c r="K273" s="4"/>
    </row>
    <row r="274" spans="1:11" ht="30" customHeight="1" x14ac:dyDescent="0.25">
      <c r="A274" s="2" t="s">
        <v>3</v>
      </c>
      <c r="B274" s="2" t="s">
        <v>310</v>
      </c>
      <c r="C274" s="8"/>
      <c r="D274" s="8"/>
      <c r="E274" s="8"/>
      <c r="F274" s="8"/>
      <c r="G274" s="8"/>
      <c r="H274" s="8"/>
      <c r="K274" s="4"/>
    </row>
    <row r="275" spans="1:11" ht="30" customHeight="1" x14ac:dyDescent="0.25">
      <c r="A275" s="2" t="s">
        <v>6</v>
      </c>
      <c r="B275" s="2" t="s">
        <v>312</v>
      </c>
      <c r="C275" s="8"/>
      <c r="D275" s="8"/>
      <c r="E275" s="8"/>
      <c r="F275" s="8"/>
      <c r="G275" s="8"/>
      <c r="H275" s="8"/>
      <c r="K275" s="4"/>
    </row>
    <row r="276" spans="1:11" ht="30" customHeight="1" x14ac:dyDescent="0.25">
      <c r="A276" s="2" t="s">
        <v>9</v>
      </c>
      <c r="B276" s="2" t="s">
        <v>311</v>
      </c>
      <c r="C276" s="8"/>
      <c r="D276" s="8"/>
      <c r="E276" s="8"/>
      <c r="F276" s="8"/>
      <c r="G276" s="8"/>
      <c r="H276" s="8"/>
      <c r="K276" s="4"/>
    </row>
    <row r="277" spans="1:11" ht="30" customHeight="1" x14ac:dyDescent="0.25">
      <c r="A277" s="2" t="s">
        <v>12</v>
      </c>
      <c r="B277" s="2" t="s">
        <v>313</v>
      </c>
      <c r="C277" s="8"/>
      <c r="D277" s="8"/>
      <c r="E277" s="8"/>
      <c r="F277" s="8"/>
      <c r="G277" s="8"/>
      <c r="H277" s="8"/>
      <c r="K277" s="4"/>
    </row>
    <row r="278" spans="1:11" ht="30" customHeight="1" x14ac:dyDescent="0.25">
      <c r="A278" s="2" t="s">
        <v>14</v>
      </c>
      <c r="B278" s="2" t="s">
        <v>315</v>
      </c>
      <c r="C278" s="8"/>
      <c r="D278" s="8"/>
      <c r="E278" s="8"/>
      <c r="F278" s="8"/>
      <c r="G278" s="8"/>
      <c r="H278" s="8"/>
      <c r="K278" s="4"/>
    </row>
    <row r="279" spans="1:11" ht="30" customHeight="1" x14ac:dyDescent="0.25">
      <c r="A279" s="2" t="s">
        <v>16</v>
      </c>
      <c r="B279" s="2" t="s">
        <v>314</v>
      </c>
      <c r="C279" s="8"/>
      <c r="D279" s="8"/>
      <c r="E279" s="8"/>
      <c r="F279" s="8"/>
      <c r="G279" s="8"/>
      <c r="H279" s="8"/>
      <c r="K279" s="4"/>
    </row>
    <row r="280" spans="1:11" ht="30" customHeight="1" x14ac:dyDescent="0.25">
      <c r="A280" s="2" t="s">
        <v>18</v>
      </c>
      <c r="B280" s="2" t="s">
        <v>316</v>
      </c>
      <c r="C280" s="8"/>
      <c r="D280" s="8"/>
      <c r="E280" s="8"/>
      <c r="F280" s="8"/>
      <c r="G280" s="8"/>
      <c r="H280" s="8"/>
      <c r="K280" s="4"/>
    </row>
    <row r="281" spans="1:11" ht="30" customHeight="1" x14ac:dyDescent="0.25">
      <c r="A281" s="2" t="s">
        <v>71</v>
      </c>
      <c r="B281" s="2" t="s">
        <v>317</v>
      </c>
      <c r="C281" s="8"/>
      <c r="D281" s="8"/>
      <c r="E281" s="8"/>
      <c r="F281" s="8"/>
      <c r="G281" s="8"/>
      <c r="H281" s="8"/>
      <c r="K281" s="4"/>
    </row>
    <row r="282" spans="1:11" ht="30" customHeight="1" x14ac:dyDescent="0.25">
      <c r="A282" s="91">
        <v>44137</v>
      </c>
      <c r="B282" s="92"/>
      <c r="C282" s="92"/>
      <c r="D282" s="92"/>
      <c r="E282" s="92"/>
      <c r="F282" s="92"/>
      <c r="G282" s="92"/>
      <c r="H282" s="93"/>
      <c r="K282" s="4"/>
    </row>
    <row r="283" spans="1:11" s="7" customFormat="1" ht="30" customHeight="1" x14ac:dyDescent="0.3">
      <c r="A283" s="70" t="s">
        <v>38</v>
      </c>
      <c r="B283" s="70" t="s">
        <v>39</v>
      </c>
      <c r="C283" s="70" t="s">
        <v>40</v>
      </c>
      <c r="D283" s="70" t="s">
        <v>41</v>
      </c>
      <c r="E283" s="70" t="s">
        <v>42</v>
      </c>
      <c r="F283" s="70" t="s">
        <v>43</v>
      </c>
      <c r="G283" s="70" t="s">
        <v>44</v>
      </c>
      <c r="H283" s="70" t="s">
        <v>45</v>
      </c>
      <c r="K283" s="4"/>
    </row>
    <row r="284" spans="1:11" ht="30" customHeight="1" x14ac:dyDescent="0.25">
      <c r="A284" s="2" t="s">
        <v>3</v>
      </c>
      <c r="B284" s="2" t="s">
        <v>318</v>
      </c>
      <c r="C284" s="8"/>
      <c r="D284" s="8"/>
      <c r="E284" s="8"/>
      <c r="F284" s="8"/>
      <c r="G284" s="8"/>
      <c r="H284" s="8"/>
      <c r="K284" s="4"/>
    </row>
    <row r="285" spans="1:11" ht="30" customHeight="1" x14ac:dyDescent="0.25">
      <c r="A285" s="2" t="s">
        <v>6</v>
      </c>
      <c r="B285" s="2" t="s">
        <v>319</v>
      </c>
      <c r="C285" s="8"/>
      <c r="D285" s="8"/>
      <c r="E285" s="8"/>
      <c r="F285" s="8"/>
      <c r="G285" s="8"/>
      <c r="H285" s="8"/>
      <c r="K285" s="4"/>
    </row>
    <row r="286" spans="1:11" ht="30" customHeight="1" x14ac:dyDescent="0.25">
      <c r="A286" s="2" t="s">
        <v>9</v>
      </c>
      <c r="B286" s="2" t="s">
        <v>322</v>
      </c>
      <c r="C286" s="8"/>
      <c r="D286" s="8"/>
      <c r="E286" s="8"/>
      <c r="F286" s="8"/>
      <c r="G286" s="8"/>
      <c r="H286" s="8"/>
      <c r="K286" s="4"/>
    </row>
    <row r="287" spans="1:11" ht="30" customHeight="1" x14ac:dyDescent="0.25">
      <c r="A287" s="2" t="s">
        <v>12</v>
      </c>
      <c r="B287" s="2" t="s">
        <v>320</v>
      </c>
      <c r="C287" s="8"/>
      <c r="D287" s="8"/>
      <c r="E287" s="8"/>
      <c r="F287" s="8"/>
      <c r="G287" s="8"/>
      <c r="H287" s="8"/>
      <c r="K287" s="4"/>
    </row>
    <row r="288" spans="1:11" ht="30" customHeight="1" x14ac:dyDescent="0.25">
      <c r="A288" s="2" t="s">
        <v>14</v>
      </c>
      <c r="B288" s="2" t="s">
        <v>325</v>
      </c>
      <c r="C288" s="8"/>
      <c r="D288" s="8"/>
      <c r="E288" s="8"/>
      <c r="F288" s="8"/>
      <c r="G288" s="8"/>
      <c r="H288" s="8"/>
      <c r="K288" s="4"/>
    </row>
    <row r="289" spans="1:11" ht="30" customHeight="1" x14ac:dyDescent="0.25">
      <c r="A289" s="2" t="s">
        <v>16</v>
      </c>
      <c r="B289" s="2" t="s">
        <v>321</v>
      </c>
      <c r="C289" s="8"/>
      <c r="D289" s="8"/>
      <c r="E289" s="8"/>
      <c r="F289" s="8"/>
      <c r="G289" s="8"/>
      <c r="H289" s="8"/>
      <c r="K289" s="4"/>
    </row>
    <row r="290" spans="1:11" ht="30" customHeight="1" x14ac:dyDescent="0.25">
      <c r="A290" s="2" t="s">
        <v>18</v>
      </c>
      <c r="B290" s="2" t="s">
        <v>326</v>
      </c>
      <c r="C290" s="8"/>
      <c r="D290" s="8"/>
      <c r="E290" s="8"/>
      <c r="F290" s="8"/>
      <c r="G290" s="8"/>
      <c r="H290" s="8"/>
      <c r="K290" s="4"/>
    </row>
    <row r="291" spans="1:11" ht="30" customHeight="1" x14ac:dyDescent="0.25">
      <c r="A291" s="2" t="s">
        <v>71</v>
      </c>
      <c r="B291" s="2" t="s">
        <v>323</v>
      </c>
      <c r="C291" s="8"/>
      <c r="D291" s="8"/>
      <c r="E291" s="8"/>
      <c r="F291" s="8"/>
      <c r="G291" s="8"/>
      <c r="H291" s="8"/>
      <c r="K291" s="4"/>
    </row>
    <row r="292" spans="1:11" ht="30" customHeight="1" x14ac:dyDescent="0.25">
      <c r="A292" s="91">
        <v>44139</v>
      </c>
      <c r="B292" s="92"/>
      <c r="C292" s="92"/>
      <c r="D292" s="92"/>
      <c r="E292" s="92"/>
      <c r="F292" s="92"/>
      <c r="G292" s="92"/>
      <c r="H292" s="93"/>
      <c r="K292" s="4"/>
    </row>
    <row r="293" spans="1:11" s="7" customFormat="1" ht="30" customHeight="1" x14ac:dyDescent="0.3">
      <c r="A293" s="70" t="s">
        <v>38</v>
      </c>
      <c r="B293" s="70" t="s">
        <v>39</v>
      </c>
      <c r="C293" s="70" t="s">
        <v>40</v>
      </c>
      <c r="D293" s="70" t="s">
        <v>41</v>
      </c>
      <c r="E293" s="70" t="s">
        <v>42</v>
      </c>
      <c r="F293" s="70" t="s">
        <v>43</v>
      </c>
      <c r="G293" s="70" t="s">
        <v>44</v>
      </c>
      <c r="H293" s="70" t="s">
        <v>45</v>
      </c>
      <c r="K293" s="4"/>
    </row>
    <row r="294" spans="1:11" ht="30" customHeight="1" x14ac:dyDescent="0.25">
      <c r="A294" s="2" t="s">
        <v>3</v>
      </c>
      <c r="B294" s="2" t="s">
        <v>324</v>
      </c>
      <c r="C294" s="8"/>
      <c r="D294" s="8"/>
      <c r="E294" s="8"/>
      <c r="F294" s="8"/>
      <c r="G294" s="8"/>
      <c r="H294" s="8"/>
      <c r="K294" s="4"/>
    </row>
    <row r="295" spans="1:11" ht="30" customHeight="1" x14ac:dyDescent="0.25">
      <c r="A295" s="2" t="s">
        <v>6</v>
      </c>
      <c r="B295" s="2" t="s">
        <v>329</v>
      </c>
      <c r="C295" s="8"/>
      <c r="D295" s="8"/>
      <c r="E295" s="8"/>
      <c r="F295" s="8"/>
      <c r="G295" s="8"/>
      <c r="H295" s="8"/>
      <c r="K295" s="4"/>
    </row>
    <row r="296" spans="1:11" ht="30" customHeight="1" x14ac:dyDescent="0.25">
      <c r="A296" s="2" t="s">
        <v>9</v>
      </c>
      <c r="B296" s="2" t="s">
        <v>327</v>
      </c>
      <c r="C296" s="8"/>
      <c r="D296" s="8"/>
      <c r="E296" s="8"/>
      <c r="F296" s="8"/>
      <c r="G296" s="8"/>
      <c r="H296" s="8"/>
      <c r="K296" s="4"/>
    </row>
    <row r="297" spans="1:11" ht="30" customHeight="1" x14ac:dyDescent="0.25">
      <c r="A297" s="2" t="s">
        <v>12</v>
      </c>
      <c r="B297" s="2" t="s">
        <v>330</v>
      </c>
      <c r="C297" s="8"/>
      <c r="D297" s="8"/>
      <c r="E297" s="8"/>
      <c r="F297" s="8"/>
      <c r="G297" s="8"/>
      <c r="H297" s="8"/>
      <c r="K297" s="4"/>
    </row>
    <row r="298" spans="1:11" ht="30" customHeight="1" x14ac:dyDescent="0.25">
      <c r="A298" s="2" t="s">
        <v>14</v>
      </c>
      <c r="B298" s="2" t="s">
        <v>328</v>
      </c>
      <c r="C298" s="8"/>
      <c r="D298" s="8"/>
      <c r="E298" s="8"/>
      <c r="F298" s="8"/>
      <c r="G298" s="8"/>
      <c r="H298" s="8"/>
      <c r="K298" s="4"/>
    </row>
    <row r="299" spans="1:11" ht="30" customHeight="1" x14ac:dyDescent="0.25">
      <c r="A299" s="2" t="s">
        <v>16</v>
      </c>
      <c r="B299" s="2" t="s">
        <v>331</v>
      </c>
      <c r="C299" s="8"/>
      <c r="D299" s="8"/>
      <c r="E299" s="8"/>
      <c r="F299" s="8"/>
      <c r="G299" s="8"/>
      <c r="H299" s="8"/>
      <c r="K299" s="4"/>
    </row>
    <row r="300" spans="1:11" ht="30" customHeight="1" x14ac:dyDescent="0.25">
      <c r="A300" s="2" t="s">
        <v>18</v>
      </c>
      <c r="B300" s="2" t="s">
        <v>254</v>
      </c>
      <c r="C300" s="8"/>
      <c r="D300" s="8"/>
      <c r="E300" s="8"/>
      <c r="F300" s="8"/>
      <c r="G300" s="8"/>
      <c r="H300" s="8"/>
      <c r="K300" s="4"/>
    </row>
    <row r="301" spans="1:11" ht="30" customHeight="1" x14ac:dyDescent="0.25">
      <c r="A301" s="2" t="s">
        <v>71</v>
      </c>
      <c r="B301" s="2" t="s">
        <v>332</v>
      </c>
      <c r="C301" s="8"/>
      <c r="D301" s="8"/>
      <c r="E301" s="8"/>
      <c r="F301" s="8"/>
      <c r="G301" s="8"/>
      <c r="H301" s="8"/>
      <c r="K301" s="4"/>
    </row>
    <row r="302" spans="1:11" ht="30" customHeight="1" x14ac:dyDescent="0.25">
      <c r="A302" s="91">
        <v>44141</v>
      </c>
      <c r="B302" s="92"/>
      <c r="C302" s="92"/>
      <c r="D302" s="92"/>
      <c r="E302" s="92"/>
      <c r="F302" s="92"/>
      <c r="G302" s="92"/>
      <c r="H302" s="93"/>
      <c r="K302" s="4"/>
    </row>
    <row r="303" spans="1:11" s="7" customFormat="1" ht="30" customHeight="1" x14ac:dyDescent="0.3">
      <c r="A303" s="70" t="s">
        <v>38</v>
      </c>
      <c r="B303" s="70" t="s">
        <v>39</v>
      </c>
      <c r="C303" s="70" t="s">
        <v>40</v>
      </c>
      <c r="D303" s="70" t="s">
        <v>41</v>
      </c>
      <c r="E303" s="70" t="s">
        <v>42</v>
      </c>
      <c r="F303" s="70" t="s">
        <v>43</v>
      </c>
      <c r="G303" s="70" t="s">
        <v>44</v>
      </c>
      <c r="H303" s="70" t="s">
        <v>45</v>
      </c>
      <c r="K303" s="4"/>
    </row>
    <row r="304" spans="1:11" ht="30" customHeight="1" x14ac:dyDescent="0.25">
      <c r="A304" s="2" t="s">
        <v>3</v>
      </c>
      <c r="B304" s="2" t="s">
        <v>333</v>
      </c>
      <c r="C304" s="8"/>
      <c r="D304" s="8"/>
      <c r="E304" s="8"/>
      <c r="F304" s="8"/>
      <c r="G304" s="8"/>
      <c r="H304" s="8"/>
      <c r="K304" s="4"/>
    </row>
    <row r="305" spans="1:11" ht="30" customHeight="1" x14ac:dyDescent="0.25">
      <c r="A305" s="2" t="s">
        <v>6</v>
      </c>
      <c r="B305" s="2" t="s">
        <v>257</v>
      </c>
      <c r="C305" s="8"/>
      <c r="D305" s="8"/>
      <c r="E305" s="8"/>
      <c r="F305" s="8"/>
      <c r="G305" s="8"/>
      <c r="H305" s="8"/>
      <c r="K305" s="4"/>
    </row>
    <row r="306" spans="1:11" ht="30" customHeight="1" x14ac:dyDescent="0.25">
      <c r="A306" s="2" t="s">
        <v>9</v>
      </c>
      <c r="B306" s="2" t="s">
        <v>255</v>
      </c>
      <c r="C306" s="8"/>
      <c r="D306" s="8"/>
      <c r="E306" s="8"/>
      <c r="F306" s="8"/>
      <c r="G306" s="8"/>
      <c r="H306" s="8"/>
      <c r="K306" s="4"/>
    </row>
    <row r="307" spans="1:11" ht="30" customHeight="1" x14ac:dyDescent="0.25">
      <c r="A307" s="2" t="s">
        <v>12</v>
      </c>
      <c r="B307" s="2" t="s">
        <v>258</v>
      </c>
      <c r="C307" s="8"/>
      <c r="D307" s="8"/>
      <c r="E307" s="8"/>
      <c r="F307" s="8"/>
      <c r="G307" s="8"/>
      <c r="H307" s="8"/>
      <c r="K307" s="4"/>
    </row>
    <row r="308" spans="1:11" ht="30" customHeight="1" x14ac:dyDescent="0.25">
      <c r="A308" s="2" t="s">
        <v>14</v>
      </c>
      <c r="B308" s="2" t="s">
        <v>256</v>
      </c>
      <c r="C308" s="8"/>
      <c r="D308" s="8"/>
      <c r="E308" s="8"/>
      <c r="F308" s="8"/>
      <c r="G308" s="8"/>
      <c r="H308" s="8"/>
      <c r="K308" s="4"/>
    </row>
    <row r="309" spans="1:11" ht="30" customHeight="1" x14ac:dyDescent="0.25">
      <c r="A309" s="2" t="s">
        <v>16</v>
      </c>
      <c r="B309" s="2" t="s">
        <v>271</v>
      </c>
      <c r="C309" s="8"/>
      <c r="D309" s="8"/>
      <c r="E309" s="8"/>
      <c r="F309" s="8"/>
      <c r="G309" s="8"/>
      <c r="H309" s="8"/>
      <c r="K309" s="4"/>
    </row>
    <row r="310" spans="1:11" ht="30" customHeight="1" x14ac:dyDescent="0.25">
      <c r="A310" s="2" t="s">
        <v>18</v>
      </c>
      <c r="B310" s="2" t="s">
        <v>259</v>
      </c>
      <c r="C310" s="8"/>
      <c r="D310" s="8"/>
      <c r="E310" s="8"/>
      <c r="F310" s="8"/>
      <c r="G310" s="8"/>
      <c r="H310" s="8"/>
      <c r="K310" s="4"/>
    </row>
    <row r="311" spans="1:11" ht="30" customHeight="1" x14ac:dyDescent="0.25">
      <c r="A311" s="2" t="s">
        <v>71</v>
      </c>
      <c r="B311" s="2" t="s">
        <v>260</v>
      </c>
      <c r="C311" s="8"/>
      <c r="D311" s="8"/>
      <c r="E311" s="8"/>
      <c r="F311" s="8"/>
      <c r="G311" s="8"/>
      <c r="H311" s="8"/>
      <c r="K311" s="4"/>
    </row>
    <row r="312" spans="1:11" ht="30" customHeight="1" x14ac:dyDescent="0.25">
      <c r="A312" s="91">
        <v>44144</v>
      </c>
      <c r="B312" s="92"/>
      <c r="C312" s="92"/>
      <c r="D312" s="92"/>
      <c r="E312" s="92"/>
      <c r="F312" s="92"/>
      <c r="G312" s="92"/>
      <c r="H312" s="93"/>
      <c r="K312" s="4"/>
    </row>
    <row r="313" spans="1:11" s="7" customFormat="1" ht="30" customHeight="1" x14ac:dyDescent="0.3">
      <c r="A313" s="70" t="s">
        <v>38</v>
      </c>
      <c r="B313" s="70" t="s">
        <v>39</v>
      </c>
      <c r="C313" s="70" t="s">
        <v>40</v>
      </c>
      <c r="D313" s="70" t="s">
        <v>41</v>
      </c>
      <c r="E313" s="70" t="s">
        <v>42</v>
      </c>
      <c r="F313" s="70" t="s">
        <v>43</v>
      </c>
      <c r="G313" s="70" t="s">
        <v>44</v>
      </c>
      <c r="H313" s="70" t="s">
        <v>45</v>
      </c>
      <c r="K313" s="4"/>
    </row>
    <row r="314" spans="1:11" ht="30" customHeight="1" x14ac:dyDescent="0.25">
      <c r="A314" s="2" t="s">
        <v>3</v>
      </c>
      <c r="B314" s="2" t="s">
        <v>261</v>
      </c>
      <c r="C314" s="8"/>
      <c r="D314" s="8"/>
      <c r="E314" s="8"/>
      <c r="F314" s="8"/>
      <c r="G314" s="8"/>
      <c r="H314" s="8"/>
      <c r="K314" s="4"/>
    </row>
    <row r="315" spans="1:11" ht="30" customHeight="1" x14ac:dyDescent="0.25">
      <c r="A315" s="2" t="s">
        <v>6</v>
      </c>
      <c r="B315" s="2" t="s">
        <v>272</v>
      </c>
      <c r="C315" s="8"/>
      <c r="D315" s="8"/>
      <c r="E315" s="8"/>
      <c r="F315" s="8"/>
      <c r="G315" s="8"/>
      <c r="H315" s="8"/>
      <c r="K315" s="4"/>
    </row>
    <row r="316" spans="1:11" ht="30" customHeight="1" x14ac:dyDescent="0.25">
      <c r="A316" s="2" t="s">
        <v>9</v>
      </c>
      <c r="B316" s="2" t="s">
        <v>262</v>
      </c>
      <c r="C316" s="8"/>
      <c r="D316" s="8"/>
      <c r="E316" s="8"/>
      <c r="F316" s="8"/>
      <c r="G316" s="8"/>
      <c r="H316" s="8"/>
      <c r="K316" s="4"/>
    </row>
    <row r="317" spans="1:11" ht="30" customHeight="1" x14ac:dyDescent="0.25">
      <c r="A317" s="2" t="s">
        <v>12</v>
      </c>
      <c r="B317" s="2" t="s">
        <v>273</v>
      </c>
      <c r="C317" s="8"/>
      <c r="D317" s="8"/>
      <c r="E317" s="8"/>
      <c r="F317" s="8"/>
      <c r="G317" s="8"/>
      <c r="H317" s="8"/>
      <c r="K317" s="4"/>
    </row>
    <row r="318" spans="1:11" ht="30" customHeight="1" x14ac:dyDescent="0.25">
      <c r="A318" s="2" t="s">
        <v>14</v>
      </c>
      <c r="B318" s="2" t="s">
        <v>263</v>
      </c>
      <c r="C318" s="8"/>
      <c r="D318" s="8"/>
      <c r="E318" s="8"/>
      <c r="F318" s="8"/>
      <c r="G318" s="8"/>
      <c r="H318" s="8"/>
      <c r="K318" s="4"/>
    </row>
    <row r="319" spans="1:11" ht="30" customHeight="1" x14ac:dyDescent="0.25">
      <c r="A319" s="2" t="s">
        <v>16</v>
      </c>
      <c r="B319" s="2" t="s">
        <v>274</v>
      </c>
      <c r="C319" s="8"/>
      <c r="D319" s="8"/>
      <c r="E319" s="8"/>
      <c r="F319" s="8"/>
      <c r="G319" s="8"/>
      <c r="H319" s="8"/>
      <c r="K319" s="4"/>
    </row>
    <row r="320" spans="1:11" ht="30" customHeight="1" x14ac:dyDescent="0.25">
      <c r="A320" s="2" t="s">
        <v>18</v>
      </c>
      <c r="B320" s="2" t="s">
        <v>264</v>
      </c>
      <c r="C320" s="8"/>
      <c r="D320" s="8"/>
      <c r="E320" s="8"/>
      <c r="F320" s="8"/>
      <c r="G320" s="8"/>
      <c r="H320" s="8"/>
      <c r="K320" s="4"/>
    </row>
    <row r="321" spans="1:11" ht="30" customHeight="1" x14ac:dyDescent="0.25">
      <c r="A321" s="2" t="s">
        <v>71</v>
      </c>
      <c r="B321" s="2" t="s">
        <v>265</v>
      </c>
      <c r="C321" s="8"/>
      <c r="D321" s="8"/>
      <c r="E321" s="8"/>
      <c r="F321" s="8"/>
      <c r="G321" s="8"/>
      <c r="H321" s="8"/>
      <c r="K321" s="4"/>
    </row>
    <row r="322" spans="1:11" ht="30" customHeight="1" x14ac:dyDescent="0.25">
      <c r="A322" s="91">
        <v>44148</v>
      </c>
      <c r="B322" s="92"/>
      <c r="C322" s="92"/>
      <c r="D322" s="92"/>
      <c r="E322" s="92"/>
      <c r="F322" s="92"/>
      <c r="G322" s="92"/>
      <c r="H322" s="93"/>
      <c r="K322" s="4"/>
    </row>
    <row r="323" spans="1:11" s="7" customFormat="1" ht="30" customHeight="1" x14ac:dyDescent="0.3">
      <c r="A323" s="70" t="s">
        <v>38</v>
      </c>
      <c r="B323" s="70" t="s">
        <v>39</v>
      </c>
      <c r="C323" s="70" t="s">
        <v>40</v>
      </c>
      <c r="D323" s="70" t="s">
        <v>41</v>
      </c>
      <c r="E323" s="70" t="s">
        <v>42</v>
      </c>
      <c r="F323" s="70" t="s">
        <v>43</v>
      </c>
      <c r="G323" s="70" t="s">
        <v>44</v>
      </c>
      <c r="H323" s="70" t="s">
        <v>45</v>
      </c>
      <c r="K323" s="4"/>
    </row>
    <row r="324" spans="1:11" ht="30" customHeight="1" x14ac:dyDescent="0.25">
      <c r="A324" s="2" t="s">
        <v>3</v>
      </c>
      <c r="B324" s="2" t="s">
        <v>266</v>
      </c>
      <c r="C324" s="8"/>
      <c r="D324" s="8"/>
      <c r="E324" s="8"/>
      <c r="F324" s="8"/>
      <c r="G324" s="8"/>
      <c r="H324" s="8"/>
      <c r="K324" s="4"/>
    </row>
    <row r="325" spans="1:11" ht="30" customHeight="1" x14ac:dyDescent="0.25">
      <c r="A325" s="2" t="s">
        <v>6</v>
      </c>
      <c r="B325" s="2" t="s">
        <v>275</v>
      </c>
      <c r="C325" s="8"/>
      <c r="D325" s="8"/>
      <c r="E325" s="8"/>
      <c r="F325" s="8"/>
      <c r="G325" s="8"/>
      <c r="H325" s="8"/>
      <c r="K325" s="4"/>
    </row>
    <row r="326" spans="1:11" ht="30" customHeight="1" x14ac:dyDescent="0.25">
      <c r="A326" s="2" t="s">
        <v>9</v>
      </c>
      <c r="B326" s="2" t="s">
        <v>267</v>
      </c>
      <c r="C326" s="8"/>
      <c r="D326" s="8"/>
      <c r="E326" s="8"/>
      <c r="F326" s="8"/>
      <c r="G326" s="8"/>
      <c r="H326" s="8"/>
      <c r="K326" s="4"/>
    </row>
    <row r="327" spans="1:11" ht="30" customHeight="1" x14ac:dyDescent="0.25">
      <c r="A327" s="2" t="s">
        <v>12</v>
      </c>
      <c r="B327" s="2" t="s">
        <v>276</v>
      </c>
      <c r="C327" s="8"/>
      <c r="D327" s="8"/>
      <c r="E327" s="8"/>
      <c r="F327" s="8"/>
      <c r="G327" s="8"/>
      <c r="H327" s="8"/>
      <c r="K327" s="4"/>
    </row>
    <row r="328" spans="1:11" ht="30" customHeight="1" x14ac:dyDescent="0.25">
      <c r="A328" s="2" t="s">
        <v>14</v>
      </c>
      <c r="B328" s="2" t="s">
        <v>268</v>
      </c>
      <c r="C328" s="8"/>
      <c r="D328" s="8"/>
      <c r="E328" s="8"/>
      <c r="F328" s="8"/>
      <c r="G328" s="8"/>
      <c r="H328" s="8"/>
      <c r="K328" s="4"/>
    </row>
    <row r="329" spans="1:11" ht="30" customHeight="1" x14ac:dyDescent="0.25">
      <c r="A329" s="2" t="s">
        <v>16</v>
      </c>
      <c r="B329" s="2" t="s">
        <v>277</v>
      </c>
      <c r="C329" s="8"/>
      <c r="D329" s="8"/>
      <c r="E329" s="8"/>
      <c r="F329" s="8"/>
      <c r="G329" s="8"/>
      <c r="H329" s="8"/>
      <c r="K329" s="4"/>
    </row>
    <row r="330" spans="1:11" ht="30" customHeight="1" x14ac:dyDescent="0.25">
      <c r="A330" s="2" t="s">
        <v>18</v>
      </c>
      <c r="B330" s="2" t="s">
        <v>269</v>
      </c>
      <c r="C330" s="8"/>
      <c r="D330" s="8"/>
      <c r="E330" s="8"/>
      <c r="F330" s="8"/>
      <c r="G330" s="8"/>
      <c r="H330" s="8"/>
      <c r="K330" s="4"/>
    </row>
    <row r="331" spans="1:11" ht="30" customHeight="1" x14ac:dyDescent="0.25">
      <c r="A331" s="2" t="s">
        <v>71</v>
      </c>
      <c r="B331" s="2" t="s">
        <v>270</v>
      </c>
      <c r="C331" s="8"/>
      <c r="D331" s="8"/>
      <c r="E331" s="8"/>
      <c r="F331" s="8"/>
      <c r="G331" s="8"/>
      <c r="H331" s="8"/>
      <c r="K331" s="4"/>
    </row>
    <row r="332" spans="1:11" ht="30" customHeight="1" x14ac:dyDescent="0.25">
      <c r="A332" s="91">
        <v>44151</v>
      </c>
      <c r="B332" s="92"/>
      <c r="C332" s="92"/>
      <c r="D332" s="92"/>
      <c r="E332" s="92"/>
      <c r="F332" s="92"/>
      <c r="G332" s="92"/>
      <c r="H332" s="93"/>
      <c r="K332" s="4"/>
    </row>
    <row r="333" spans="1:11" s="7" customFormat="1" ht="30" customHeight="1" x14ac:dyDescent="0.3">
      <c r="A333" s="70" t="s">
        <v>38</v>
      </c>
      <c r="B333" s="70" t="s">
        <v>39</v>
      </c>
      <c r="C333" s="70" t="s">
        <v>40</v>
      </c>
      <c r="D333" s="70" t="s">
        <v>41</v>
      </c>
      <c r="E333" s="70" t="s">
        <v>42</v>
      </c>
      <c r="F333" s="70" t="s">
        <v>43</v>
      </c>
      <c r="G333" s="70" t="s">
        <v>44</v>
      </c>
      <c r="H333" s="70" t="s">
        <v>45</v>
      </c>
      <c r="K333" s="4"/>
    </row>
    <row r="334" spans="1:11" ht="30" customHeight="1" x14ac:dyDescent="0.25">
      <c r="A334" s="2" t="s">
        <v>3</v>
      </c>
      <c r="B334" s="2" t="s">
        <v>278</v>
      </c>
      <c r="C334" s="8"/>
      <c r="D334" s="8"/>
      <c r="E334" s="8"/>
      <c r="F334" s="8"/>
      <c r="G334" s="8"/>
      <c r="H334" s="8"/>
      <c r="K334" s="4"/>
    </row>
    <row r="335" spans="1:11" ht="30" customHeight="1" x14ac:dyDescent="0.25">
      <c r="A335" s="2" t="s">
        <v>6</v>
      </c>
      <c r="B335" s="2" t="s">
        <v>279</v>
      </c>
      <c r="C335" s="8"/>
      <c r="D335" s="8"/>
      <c r="E335" s="8"/>
      <c r="F335" s="8"/>
      <c r="G335" s="8"/>
      <c r="H335" s="8"/>
      <c r="K335" s="4"/>
    </row>
    <row r="336" spans="1:11" ht="30" customHeight="1" x14ac:dyDescent="0.25">
      <c r="A336" s="2" t="s">
        <v>9</v>
      </c>
      <c r="B336" s="2" t="s">
        <v>284</v>
      </c>
      <c r="C336" s="8"/>
      <c r="D336" s="8"/>
      <c r="E336" s="8"/>
      <c r="F336" s="8"/>
      <c r="G336" s="8"/>
      <c r="H336" s="8"/>
      <c r="K336" s="4"/>
    </row>
    <row r="337" spans="1:11" ht="30" customHeight="1" x14ac:dyDescent="0.25">
      <c r="A337" s="2" t="s">
        <v>12</v>
      </c>
      <c r="B337" s="2" t="s">
        <v>280</v>
      </c>
      <c r="C337" s="8"/>
      <c r="D337" s="8"/>
      <c r="E337" s="8"/>
      <c r="F337" s="8"/>
      <c r="G337" s="8"/>
      <c r="H337" s="8"/>
      <c r="K337" s="4"/>
    </row>
    <row r="338" spans="1:11" ht="30" customHeight="1" x14ac:dyDescent="0.25">
      <c r="A338" s="2" t="s">
        <v>14</v>
      </c>
      <c r="B338" s="2" t="s">
        <v>285</v>
      </c>
      <c r="C338" s="8"/>
      <c r="D338" s="8"/>
      <c r="E338" s="8"/>
      <c r="F338" s="8"/>
      <c r="G338" s="8"/>
      <c r="H338" s="8"/>
      <c r="K338" s="4"/>
    </row>
    <row r="339" spans="1:11" ht="30" customHeight="1" x14ac:dyDescent="0.25">
      <c r="A339" s="2" t="s">
        <v>16</v>
      </c>
      <c r="B339" s="2" t="s">
        <v>281</v>
      </c>
      <c r="C339" s="8"/>
      <c r="D339" s="8"/>
      <c r="E339" s="8"/>
      <c r="F339" s="8"/>
      <c r="G339" s="8"/>
      <c r="H339" s="8"/>
      <c r="K339" s="4"/>
    </row>
    <row r="340" spans="1:11" ht="30" customHeight="1" x14ac:dyDescent="0.25">
      <c r="A340" s="2" t="s">
        <v>18</v>
      </c>
      <c r="B340" s="2" t="s">
        <v>287</v>
      </c>
      <c r="C340" s="8"/>
      <c r="D340" s="8"/>
      <c r="E340" s="8"/>
      <c r="F340" s="8"/>
      <c r="G340" s="8"/>
      <c r="H340" s="8"/>
      <c r="K340" s="4"/>
    </row>
    <row r="341" spans="1:11" ht="30" customHeight="1" x14ac:dyDescent="0.25">
      <c r="A341" s="2" t="s">
        <v>71</v>
      </c>
      <c r="B341" s="2" t="s">
        <v>282</v>
      </c>
      <c r="C341" s="8"/>
      <c r="D341" s="8"/>
      <c r="E341" s="8"/>
      <c r="F341" s="8"/>
      <c r="G341" s="8"/>
      <c r="H341" s="8"/>
      <c r="K341" s="4"/>
    </row>
    <row r="342" spans="1:11" ht="30" customHeight="1" x14ac:dyDescent="0.25">
      <c r="A342" s="91">
        <v>44153</v>
      </c>
      <c r="B342" s="92"/>
      <c r="C342" s="92"/>
      <c r="D342" s="92"/>
      <c r="E342" s="92"/>
      <c r="F342" s="92"/>
      <c r="G342" s="92"/>
      <c r="H342" s="93"/>
      <c r="K342" s="4"/>
    </row>
    <row r="343" spans="1:11" s="7" customFormat="1" ht="30" customHeight="1" x14ac:dyDescent="0.3">
      <c r="A343" s="70" t="s">
        <v>38</v>
      </c>
      <c r="B343" s="70" t="s">
        <v>39</v>
      </c>
      <c r="C343" s="70" t="s">
        <v>40</v>
      </c>
      <c r="D343" s="70" t="s">
        <v>41</v>
      </c>
      <c r="E343" s="70" t="s">
        <v>42</v>
      </c>
      <c r="F343" s="70" t="s">
        <v>43</v>
      </c>
      <c r="G343" s="70" t="s">
        <v>44</v>
      </c>
      <c r="H343" s="70" t="s">
        <v>45</v>
      </c>
      <c r="K343" s="4"/>
    </row>
    <row r="344" spans="1:11" ht="30" customHeight="1" x14ac:dyDescent="0.25">
      <c r="A344" s="2" t="s">
        <v>3</v>
      </c>
      <c r="B344" s="2" t="s">
        <v>283</v>
      </c>
      <c r="C344" s="8"/>
      <c r="D344" s="8"/>
      <c r="E344" s="8"/>
      <c r="F344" s="8"/>
      <c r="G344" s="8"/>
      <c r="H344" s="8"/>
      <c r="K344" s="4"/>
    </row>
    <row r="345" spans="1:11" ht="30" customHeight="1" x14ac:dyDescent="0.25">
      <c r="A345" s="2" t="s">
        <v>6</v>
      </c>
      <c r="B345" s="2" t="s">
        <v>286</v>
      </c>
      <c r="C345" s="8"/>
      <c r="D345" s="8"/>
      <c r="E345" s="8"/>
      <c r="F345" s="8"/>
      <c r="G345" s="8"/>
      <c r="H345" s="8"/>
      <c r="K345" s="4"/>
    </row>
    <row r="346" spans="1:11" ht="30" customHeight="1" x14ac:dyDescent="0.25">
      <c r="A346" s="2" t="s">
        <v>9</v>
      </c>
      <c r="B346" s="2" t="s">
        <v>288</v>
      </c>
      <c r="C346" s="8"/>
      <c r="D346" s="8"/>
      <c r="E346" s="8"/>
      <c r="F346" s="8"/>
      <c r="G346" s="8"/>
      <c r="H346" s="8"/>
      <c r="K346" s="4"/>
    </row>
    <row r="347" spans="1:11" ht="30" customHeight="1" x14ac:dyDescent="0.25">
      <c r="A347" s="2" t="s">
        <v>12</v>
      </c>
      <c r="B347" s="2" t="s">
        <v>295</v>
      </c>
      <c r="C347" s="8"/>
      <c r="D347" s="8"/>
      <c r="E347" s="8"/>
      <c r="F347" s="8"/>
      <c r="G347" s="8"/>
      <c r="H347" s="8"/>
      <c r="K347" s="4"/>
    </row>
    <row r="348" spans="1:11" ht="30" customHeight="1" x14ac:dyDescent="0.25">
      <c r="A348" s="2" t="s">
        <v>14</v>
      </c>
      <c r="B348" s="2" t="s">
        <v>289</v>
      </c>
      <c r="C348" s="8"/>
      <c r="D348" s="8"/>
      <c r="E348" s="8"/>
      <c r="F348" s="8"/>
      <c r="G348" s="8"/>
      <c r="H348" s="8"/>
      <c r="K348" s="4"/>
    </row>
    <row r="349" spans="1:11" ht="30" customHeight="1" x14ac:dyDescent="0.25">
      <c r="A349" s="2" t="s">
        <v>16</v>
      </c>
      <c r="B349" s="2" t="s">
        <v>296</v>
      </c>
      <c r="C349" s="8"/>
      <c r="D349" s="8"/>
      <c r="E349" s="8"/>
      <c r="F349" s="8"/>
      <c r="G349" s="8"/>
      <c r="H349" s="8"/>
      <c r="K349" s="4"/>
    </row>
    <row r="350" spans="1:11" ht="30" customHeight="1" x14ac:dyDescent="0.25">
      <c r="A350" s="2" t="s">
        <v>18</v>
      </c>
      <c r="B350" s="2" t="s">
        <v>290</v>
      </c>
      <c r="C350" s="8"/>
      <c r="D350" s="8"/>
      <c r="E350" s="8"/>
      <c r="F350" s="8"/>
      <c r="G350" s="8"/>
      <c r="H350" s="8"/>
      <c r="K350" s="4"/>
    </row>
    <row r="351" spans="1:11" ht="30" customHeight="1" x14ac:dyDescent="0.25">
      <c r="A351" s="2" t="s">
        <v>71</v>
      </c>
      <c r="B351" s="2" t="s">
        <v>291</v>
      </c>
      <c r="C351" s="8"/>
      <c r="D351" s="8"/>
      <c r="E351" s="8"/>
      <c r="F351" s="8"/>
      <c r="G351" s="8"/>
      <c r="H351" s="8"/>
      <c r="K351" s="4"/>
    </row>
    <row r="352" spans="1:11" ht="30" customHeight="1" x14ac:dyDescent="0.25">
      <c r="A352" s="91">
        <v>44155</v>
      </c>
      <c r="B352" s="92"/>
      <c r="C352" s="92"/>
      <c r="D352" s="92"/>
      <c r="E352" s="92"/>
      <c r="F352" s="92"/>
      <c r="G352" s="92"/>
      <c r="H352" s="93"/>
      <c r="K352" s="4"/>
    </row>
    <row r="353" spans="1:11" s="7" customFormat="1" ht="30" customHeight="1" x14ac:dyDescent="0.3">
      <c r="A353" s="70" t="s">
        <v>38</v>
      </c>
      <c r="B353" s="70" t="s">
        <v>39</v>
      </c>
      <c r="C353" s="70" t="s">
        <v>40</v>
      </c>
      <c r="D353" s="70" t="s">
        <v>41</v>
      </c>
      <c r="E353" s="70" t="s">
        <v>42</v>
      </c>
      <c r="F353" s="70" t="s">
        <v>43</v>
      </c>
      <c r="G353" s="70" t="s">
        <v>44</v>
      </c>
      <c r="H353" s="70" t="s">
        <v>45</v>
      </c>
      <c r="K353" s="4"/>
    </row>
    <row r="354" spans="1:11" ht="30" customHeight="1" x14ac:dyDescent="0.25">
      <c r="A354" s="2" t="s">
        <v>3</v>
      </c>
      <c r="B354" s="2" t="s">
        <v>292</v>
      </c>
      <c r="C354" s="8"/>
      <c r="D354" s="8"/>
      <c r="E354" s="8"/>
      <c r="F354" s="8"/>
      <c r="G354" s="8"/>
      <c r="H354" s="8"/>
      <c r="K354" s="4"/>
    </row>
    <row r="355" spans="1:11" ht="30" customHeight="1" x14ac:dyDescent="0.25">
      <c r="A355" s="2" t="s">
        <v>6</v>
      </c>
      <c r="B355" s="2" t="s">
        <v>297</v>
      </c>
      <c r="C355" s="8"/>
      <c r="D355" s="8"/>
      <c r="E355" s="8"/>
      <c r="F355" s="8"/>
      <c r="G355" s="8"/>
      <c r="H355" s="8"/>
      <c r="K355" s="4"/>
    </row>
    <row r="356" spans="1:11" ht="30" customHeight="1" x14ac:dyDescent="0.25">
      <c r="A356" s="2" t="s">
        <v>9</v>
      </c>
      <c r="B356" s="2" t="s">
        <v>293</v>
      </c>
      <c r="C356" s="8"/>
      <c r="D356" s="8"/>
      <c r="E356" s="8"/>
      <c r="F356" s="8"/>
      <c r="G356" s="8"/>
      <c r="H356" s="8"/>
      <c r="K356" s="4"/>
    </row>
    <row r="357" spans="1:11" ht="30" customHeight="1" x14ac:dyDescent="0.25">
      <c r="A357" s="2" t="s">
        <v>12</v>
      </c>
      <c r="B357" s="2" t="s">
        <v>303</v>
      </c>
      <c r="C357" s="8"/>
      <c r="D357" s="8"/>
      <c r="E357" s="8"/>
      <c r="F357" s="8"/>
      <c r="G357" s="8"/>
      <c r="H357" s="8"/>
      <c r="K357" s="4"/>
    </row>
    <row r="358" spans="1:11" ht="30" customHeight="1" x14ac:dyDescent="0.25">
      <c r="A358" s="2" t="s">
        <v>14</v>
      </c>
      <c r="B358" s="2" t="s">
        <v>294</v>
      </c>
      <c r="C358" s="8"/>
      <c r="D358" s="8"/>
      <c r="E358" s="8"/>
      <c r="F358" s="8"/>
      <c r="G358" s="8"/>
      <c r="H358" s="8"/>
      <c r="K358" s="4"/>
    </row>
    <row r="359" spans="1:11" ht="30" customHeight="1" x14ac:dyDescent="0.25">
      <c r="A359" s="2" t="s">
        <v>16</v>
      </c>
      <c r="B359" s="2" t="s">
        <v>304</v>
      </c>
      <c r="C359" s="8"/>
      <c r="D359" s="8"/>
      <c r="E359" s="8"/>
      <c r="F359" s="8"/>
      <c r="G359" s="8"/>
      <c r="H359" s="8"/>
      <c r="K359" s="4"/>
    </row>
    <row r="360" spans="1:11" ht="30" customHeight="1" x14ac:dyDescent="0.25">
      <c r="A360" s="2" t="s">
        <v>18</v>
      </c>
      <c r="B360" s="2" t="s">
        <v>298</v>
      </c>
      <c r="C360" s="8"/>
      <c r="D360" s="8"/>
      <c r="E360" s="8"/>
      <c r="F360" s="8"/>
      <c r="G360" s="8"/>
      <c r="H360" s="8"/>
      <c r="K360" s="4"/>
    </row>
    <row r="361" spans="1:11" ht="30" customHeight="1" x14ac:dyDescent="0.25">
      <c r="A361" s="2" t="s">
        <v>71</v>
      </c>
      <c r="B361" s="2" t="s">
        <v>299</v>
      </c>
      <c r="C361" s="8"/>
      <c r="D361" s="8"/>
      <c r="E361" s="8"/>
      <c r="F361" s="8"/>
      <c r="G361" s="8"/>
      <c r="H361" s="8"/>
      <c r="K361" s="4"/>
    </row>
    <row r="362" spans="1:11" ht="30" customHeight="1" x14ac:dyDescent="0.25">
      <c r="A362" s="91">
        <v>44158</v>
      </c>
      <c r="B362" s="92"/>
      <c r="C362" s="92"/>
      <c r="D362" s="92"/>
      <c r="E362" s="92"/>
      <c r="F362" s="92"/>
      <c r="G362" s="92"/>
      <c r="H362" s="93"/>
      <c r="K362" s="4"/>
    </row>
    <row r="363" spans="1:11" s="7" customFormat="1" ht="30" customHeight="1" x14ac:dyDescent="0.3">
      <c r="A363" s="70" t="s">
        <v>38</v>
      </c>
      <c r="B363" s="70" t="s">
        <v>39</v>
      </c>
      <c r="C363" s="70" t="s">
        <v>40</v>
      </c>
      <c r="D363" s="70" t="s">
        <v>41</v>
      </c>
      <c r="E363" s="70" t="s">
        <v>42</v>
      </c>
      <c r="F363" s="70" t="s">
        <v>43</v>
      </c>
      <c r="G363" s="70" t="s">
        <v>44</v>
      </c>
      <c r="H363" s="70" t="s">
        <v>45</v>
      </c>
      <c r="K363" s="4"/>
    </row>
    <row r="364" spans="1:11" ht="30" customHeight="1" x14ac:dyDescent="0.25">
      <c r="A364" s="2" t="s">
        <v>3</v>
      </c>
      <c r="B364" s="2" t="s">
        <v>300</v>
      </c>
      <c r="C364" s="8"/>
      <c r="D364" s="8"/>
      <c r="E364" s="8"/>
      <c r="F364" s="8"/>
      <c r="G364" s="8"/>
      <c r="H364" s="8"/>
      <c r="K364" s="4"/>
    </row>
    <row r="365" spans="1:11" ht="30" customHeight="1" x14ac:dyDescent="0.25">
      <c r="A365" s="2" t="s">
        <v>6</v>
      </c>
      <c r="B365" s="2" t="s">
        <v>305</v>
      </c>
      <c r="C365" s="8"/>
      <c r="D365" s="8"/>
      <c r="E365" s="8"/>
      <c r="F365" s="8"/>
      <c r="G365" s="8"/>
      <c r="H365" s="8"/>
      <c r="K365" s="4"/>
    </row>
    <row r="366" spans="1:11" ht="30" customHeight="1" x14ac:dyDescent="0.25">
      <c r="A366" s="2" t="s">
        <v>9</v>
      </c>
      <c r="B366" s="2" t="s">
        <v>301</v>
      </c>
      <c r="C366" s="8"/>
      <c r="D366" s="8"/>
      <c r="E366" s="8"/>
      <c r="F366" s="8"/>
      <c r="G366" s="8"/>
      <c r="H366" s="8"/>
      <c r="K366" s="4"/>
    </row>
    <row r="367" spans="1:11" ht="30" customHeight="1" x14ac:dyDescent="0.25">
      <c r="A367" s="2" t="s">
        <v>12</v>
      </c>
      <c r="B367" s="2" t="s">
        <v>306</v>
      </c>
      <c r="C367" s="8"/>
      <c r="D367" s="8"/>
      <c r="E367" s="8"/>
      <c r="F367" s="8"/>
      <c r="G367" s="8"/>
      <c r="H367" s="8"/>
      <c r="K367" s="4"/>
    </row>
    <row r="368" spans="1:11" ht="30" customHeight="1" x14ac:dyDescent="0.25">
      <c r="A368" s="2" t="s">
        <v>14</v>
      </c>
      <c r="B368" s="2" t="s">
        <v>302</v>
      </c>
      <c r="C368" s="8"/>
      <c r="D368" s="8"/>
      <c r="E368" s="8"/>
      <c r="F368" s="8"/>
      <c r="G368" s="8"/>
      <c r="H368" s="8"/>
      <c r="K368" s="4"/>
    </row>
    <row r="369" spans="1:11" ht="30" customHeight="1" x14ac:dyDescent="0.25">
      <c r="A369" s="2" t="s">
        <v>16</v>
      </c>
      <c r="B369" s="2" t="s">
        <v>307</v>
      </c>
      <c r="C369" s="8"/>
      <c r="D369" s="8"/>
      <c r="E369" s="8"/>
      <c r="F369" s="8"/>
      <c r="G369" s="8"/>
      <c r="H369" s="8"/>
      <c r="K369" s="4"/>
    </row>
    <row r="370" spans="1:11" ht="30" customHeight="1" x14ac:dyDescent="0.25">
      <c r="A370" s="2" t="s">
        <v>18</v>
      </c>
      <c r="B370" s="2" t="s">
        <v>309</v>
      </c>
      <c r="C370" s="8"/>
      <c r="D370" s="8"/>
      <c r="E370" s="8"/>
      <c r="F370" s="8"/>
      <c r="G370" s="8"/>
      <c r="H370" s="8"/>
      <c r="K370" s="4"/>
    </row>
    <row r="371" spans="1:11" ht="30" customHeight="1" x14ac:dyDescent="0.25">
      <c r="A371" s="2" t="s">
        <v>71</v>
      </c>
      <c r="B371" s="2" t="s">
        <v>308</v>
      </c>
      <c r="C371" s="8"/>
      <c r="D371" s="8"/>
      <c r="E371" s="8"/>
      <c r="F371" s="8"/>
      <c r="G371" s="8"/>
      <c r="H371" s="8"/>
      <c r="K371" s="4"/>
    </row>
    <row r="372" spans="1:11" ht="30" customHeight="1" x14ac:dyDescent="0.25">
      <c r="A372" s="91">
        <v>44165</v>
      </c>
      <c r="B372" s="92"/>
      <c r="C372" s="92"/>
      <c r="D372" s="92"/>
      <c r="E372" s="92"/>
      <c r="F372" s="92"/>
      <c r="G372" s="92"/>
      <c r="H372" s="93"/>
      <c r="K372" s="4"/>
    </row>
    <row r="373" spans="1:11" s="7" customFormat="1" ht="30" customHeight="1" x14ac:dyDescent="0.3">
      <c r="A373" s="70" t="s">
        <v>38</v>
      </c>
      <c r="B373" s="70" t="s">
        <v>39</v>
      </c>
      <c r="C373" s="70" t="s">
        <v>40</v>
      </c>
      <c r="D373" s="70" t="s">
        <v>41</v>
      </c>
      <c r="E373" s="70" t="s">
        <v>42</v>
      </c>
      <c r="F373" s="70" t="s">
        <v>43</v>
      </c>
      <c r="G373" s="70" t="s">
        <v>44</v>
      </c>
      <c r="H373" s="70" t="s">
        <v>45</v>
      </c>
      <c r="K373" s="4"/>
    </row>
    <row r="374" spans="1:11" ht="30" customHeight="1" x14ac:dyDescent="0.25">
      <c r="A374" s="2" t="s">
        <v>3</v>
      </c>
      <c r="B374" s="2" t="s">
        <v>310</v>
      </c>
      <c r="C374" s="8"/>
      <c r="D374" s="8"/>
      <c r="E374" s="8"/>
      <c r="F374" s="8"/>
      <c r="G374" s="8"/>
      <c r="H374" s="8"/>
      <c r="K374" s="4"/>
    </row>
    <row r="375" spans="1:11" ht="30" customHeight="1" x14ac:dyDescent="0.25">
      <c r="A375" s="2" t="s">
        <v>6</v>
      </c>
      <c r="B375" s="2" t="s">
        <v>312</v>
      </c>
      <c r="C375" s="8"/>
      <c r="D375" s="8"/>
      <c r="E375" s="8"/>
      <c r="F375" s="8"/>
      <c r="G375" s="8"/>
      <c r="H375" s="8"/>
      <c r="K375" s="4"/>
    </row>
    <row r="376" spans="1:11" ht="30" customHeight="1" x14ac:dyDescent="0.25">
      <c r="A376" s="2" t="s">
        <v>9</v>
      </c>
      <c r="B376" s="2" t="s">
        <v>311</v>
      </c>
      <c r="C376" s="8"/>
      <c r="D376" s="8"/>
      <c r="E376" s="8"/>
      <c r="F376" s="8"/>
      <c r="G376" s="8"/>
      <c r="H376" s="8"/>
      <c r="K376" s="4"/>
    </row>
    <row r="377" spans="1:11" ht="30" customHeight="1" x14ac:dyDescent="0.25">
      <c r="A377" s="2" t="s">
        <v>12</v>
      </c>
      <c r="B377" s="2" t="s">
        <v>313</v>
      </c>
      <c r="C377" s="8"/>
      <c r="D377" s="8"/>
      <c r="E377" s="8"/>
      <c r="F377" s="8"/>
      <c r="G377" s="8"/>
      <c r="H377" s="8"/>
      <c r="K377" s="4"/>
    </row>
    <row r="378" spans="1:11" ht="30" customHeight="1" x14ac:dyDescent="0.25">
      <c r="A378" s="2" t="s">
        <v>14</v>
      </c>
      <c r="B378" s="2" t="s">
        <v>315</v>
      </c>
      <c r="C378" s="8"/>
      <c r="D378" s="8"/>
      <c r="E378" s="8"/>
      <c r="F378" s="8"/>
      <c r="G378" s="8"/>
      <c r="H378" s="8"/>
      <c r="K378" s="4"/>
    </row>
    <row r="379" spans="1:11" ht="30" customHeight="1" x14ac:dyDescent="0.25">
      <c r="A379" s="2" t="s">
        <v>16</v>
      </c>
      <c r="B379" s="2" t="s">
        <v>314</v>
      </c>
      <c r="C379" s="8"/>
      <c r="D379" s="8"/>
      <c r="E379" s="8"/>
      <c r="F379" s="8"/>
      <c r="G379" s="8"/>
      <c r="H379" s="8"/>
      <c r="K379" s="4"/>
    </row>
    <row r="380" spans="1:11" ht="30" customHeight="1" x14ac:dyDescent="0.25">
      <c r="A380" s="2" t="s">
        <v>18</v>
      </c>
      <c r="B380" s="2" t="s">
        <v>316</v>
      </c>
      <c r="C380" s="8"/>
      <c r="D380" s="8"/>
      <c r="E380" s="8"/>
      <c r="F380" s="8"/>
      <c r="G380" s="8"/>
      <c r="H380" s="8"/>
      <c r="K380" s="4"/>
    </row>
    <row r="381" spans="1:11" ht="30" customHeight="1" x14ac:dyDescent="0.25">
      <c r="A381" s="2" t="s">
        <v>71</v>
      </c>
      <c r="B381" s="2" t="s">
        <v>317</v>
      </c>
      <c r="C381" s="8"/>
      <c r="D381" s="8"/>
      <c r="E381" s="8"/>
      <c r="F381" s="8"/>
      <c r="G381" s="8"/>
      <c r="H381" s="8"/>
      <c r="K381" s="4"/>
    </row>
    <row r="382" spans="1:11" ht="30" customHeight="1" x14ac:dyDescent="0.25">
      <c r="A382" s="91">
        <v>44167</v>
      </c>
      <c r="B382" s="92"/>
      <c r="C382" s="92"/>
      <c r="D382" s="92"/>
      <c r="E382" s="92"/>
      <c r="F382" s="92"/>
      <c r="G382" s="92"/>
      <c r="H382" s="93"/>
      <c r="K382" s="4"/>
    </row>
    <row r="383" spans="1:11" s="7" customFormat="1" ht="30" customHeight="1" x14ac:dyDescent="0.3">
      <c r="A383" s="70" t="s">
        <v>38</v>
      </c>
      <c r="B383" s="70" t="s">
        <v>39</v>
      </c>
      <c r="C383" s="70" t="s">
        <v>40</v>
      </c>
      <c r="D383" s="70" t="s">
        <v>41</v>
      </c>
      <c r="E383" s="70" t="s">
        <v>42</v>
      </c>
      <c r="F383" s="70" t="s">
        <v>43</v>
      </c>
      <c r="G383" s="70" t="s">
        <v>44</v>
      </c>
      <c r="H383" s="70" t="s">
        <v>45</v>
      </c>
      <c r="K383" s="4"/>
    </row>
    <row r="384" spans="1:11" ht="30" customHeight="1" x14ac:dyDescent="0.25">
      <c r="A384" s="2" t="s">
        <v>3</v>
      </c>
      <c r="B384" s="2" t="s">
        <v>318</v>
      </c>
      <c r="C384" s="8"/>
      <c r="D384" s="8"/>
      <c r="E384" s="8"/>
      <c r="F384" s="8"/>
      <c r="G384" s="8"/>
      <c r="H384" s="8"/>
      <c r="K384" s="4"/>
    </row>
    <row r="385" spans="1:11" ht="30" customHeight="1" x14ac:dyDescent="0.25">
      <c r="A385" s="2" t="s">
        <v>6</v>
      </c>
      <c r="B385" s="2" t="s">
        <v>319</v>
      </c>
      <c r="C385" s="8"/>
      <c r="D385" s="8"/>
      <c r="E385" s="8"/>
      <c r="F385" s="8"/>
      <c r="G385" s="8"/>
      <c r="H385" s="8"/>
      <c r="K385" s="4"/>
    </row>
    <row r="386" spans="1:11" ht="30" customHeight="1" x14ac:dyDescent="0.25">
      <c r="A386" s="2" t="s">
        <v>9</v>
      </c>
      <c r="B386" s="2" t="s">
        <v>322</v>
      </c>
      <c r="C386" s="8"/>
      <c r="D386" s="8"/>
      <c r="E386" s="8"/>
      <c r="F386" s="8"/>
      <c r="G386" s="8"/>
      <c r="H386" s="8"/>
      <c r="K386" s="4"/>
    </row>
    <row r="387" spans="1:11" ht="30" customHeight="1" x14ac:dyDescent="0.25">
      <c r="A387" s="2" t="s">
        <v>12</v>
      </c>
      <c r="B387" s="2" t="s">
        <v>320</v>
      </c>
      <c r="C387" s="8"/>
      <c r="D387" s="8"/>
      <c r="E387" s="8"/>
      <c r="F387" s="8"/>
      <c r="G387" s="8"/>
      <c r="H387" s="8"/>
      <c r="K387" s="4"/>
    </row>
    <row r="388" spans="1:11" ht="30" customHeight="1" x14ac:dyDescent="0.25">
      <c r="A388" s="2" t="s">
        <v>14</v>
      </c>
      <c r="B388" s="2" t="s">
        <v>325</v>
      </c>
      <c r="C388" s="8"/>
      <c r="D388" s="8"/>
      <c r="E388" s="8"/>
      <c r="F388" s="8"/>
      <c r="G388" s="8"/>
      <c r="H388" s="8"/>
      <c r="K388" s="4"/>
    </row>
    <row r="389" spans="1:11" ht="30" customHeight="1" x14ac:dyDescent="0.25">
      <c r="A389" s="2" t="s">
        <v>16</v>
      </c>
      <c r="B389" s="2" t="s">
        <v>321</v>
      </c>
      <c r="C389" s="8"/>
      <c r="D389" s="8"/>
      <c r="E389" s="8"/>
      <c r="F389" s="8"/>
      <c r="G389" s="8"/>
      <c r="H389" s="8"/>
      <c r="K389" s="4"/>
    </row>
    <row r="390" spans="1:11" ht="30" customHeight="1" x14ac:dyDescent="0.25">
      <c r="A390" s="2" t="s">
        <v>18</v>
      </c>
      <c r="B390" s="2" t="s">
        <v>326</v>
      </c>
      <c r="C390" s="8"/>
      <c r="D390" s="8"/>
      <c r="E390" s="8"/>
      <c r="F390" s="8"/>
      <c r="G390" s="8"/>
      <c r="H390" s="8"/>
      <c r="K390" s="4"/>
    </row>
    <row r="391" spans="1:11" ht="30" customHeight="1" x14ac:dyDescent="0.25">
      <c r="A391" s="2" t="s">
        <v>71</v>
      </c>
      <c r="B391" s="2" t="s">
        <v>323</v>
      </c>
      <c r="C391" s="8"/>
      <c r="D391" s="8"/>
      <c r="E391" s="8"/>
      <c r="F391" s="8"/>
      <c r="G391" s="8"/>
      <c r="H391" s="8"/>
      <c r="K391" s="4"/>
    </row>
    <row r="392" spans="1:11" ht="30" customHeight="1" x14ac:dyDescent="0.25">
      <c r="A392" s="91">
        <v>44169</v>
      </c>
      <c r="B392" s="92"/>
      <c r="C392" s="92"/>
      <c r="D392" s="92"/>
      <c r="E392" s="92"/>
      <c r="F392" s="92"/>
      <c r="G392" s="92"/>
      <c r="H392" s="93"/>
      <c r="K392" s="4"/>
    </row>
    <row r="393" spans="1:11" s="7" customFormat="1" ht="30" customHeight="1" x14ac:dyDescent="0.3">
      <c r="A393" s="70" t="s">
        <v>38</v>
      </c>
      <c r="B393" s="70" t="s">
        <v>39</v>
      </c>
      <c r="C393" s="70" t="s">
        <v>40</v>
      </c>
      <c r="D393" s="70" t="s">
        <v>41</v>
      </c>
      <c r="E393" s="70" t="s">
        <v>42</v>
      </c>
      <c r="F393" s="70" t="s">
        <v>43</v>
      </c>
      <c r="G393" s="70" t="s">
        <v>44</v>
      </c>
      <c r="H393" s="70" t="s">
        <v>45</v>
      </c>
      <c r="K393" s="4"/>
    </row>
    <row r="394" spans="1:11" ht="30" customHeight="1" x14ac:dyDescent="0.25">
      <c r="A394" s="2" t="s">
        <v>3</v>
      </c>
      <c r="B394" s="2" t="s">
        <v>324</v>
      </c>
      <c r="C394" s="8"/>
      <c r="D394" s="8"/>
      <c r="E394" s="8"/>
      <c r="F394" s="8"/>
      <c r="G394" s="8"/>
      <c r="H394" s="8"/>
      <c r="K394" s="4"/>
    </row>
    <row r="395" spans="1:11" ht="30" customHeight="1" x14ac:dyDescent="0.25">
      <c r="A395" s="2" t="s">
        <v>6</v>
      </c>
      <c r="B395" s="2" t="s">
        <v>329</v>
      </c>
      <c r="C395" s="8"/>
      <c r="D395" s="8"/>
      <c r="E395" s="8"/>
      <c r="F395" s="8"/>
      <c r="G395" s="8"/>
      <c r="H395" s="8"/>
      <c r="K395" s="4"/>
    </row>
    <row r="396" spans="1:11" ht="30" customHeight="1" x14ac:dyDescent="0.25">
      <c r="A396" s="2" t="s">
        <v>9</v>
      </c>
      <c r="B396" s="2" t="s">
        <v>327</v>
      </c>
      <c r="C396" s="8"/>
      <c r="D396" s="8"/>
      <c r="E396" s="8"/>
      <c r="F396" s="8"/>
      <c r="G396" s="8"/>
      <c r="H396" s="8"/>
      <c r="K396" s="4"/>
    </row>
    <row r="397" spans="1:11" ht="30" customHeight="1" x14ac:dyDescent="0.25">
      <c r="A397" s="2" t="s">
        <v>12</v>
      </c>
      <c r="B397" s="2" t="s">
        <v>330</v>
      </c>
      <c r="C397" s="8"/>
      <c r="D397" s="8"/>
      <c r="E397" s="8"/>
      <c r="F397" s="8"/>
      <c r="G397" s="8"/>
      <c r="H397" s="8"/>
      <c r="K397" s="4"/>
    </row>
    <row r="398" spans="1:11" ht="30" customHeight="1" x14ac:dyDescent="0.25">
      <c r="A398" s="2" t="s">
        <v>14</v>
      </c>
      <c r="B398" s="2" t="s">
        <v>328</v>
      </c>
      <c r="C398" s="8"/>
      <c r="D398" s="8"/>
      <c r="E398" s="8"/>
      <c r="F398" s="8"/>
      <c r="G398" s="8"/>
      <c r="H398" s="8"/>
      <c r="K398" s="4"/>
    </row>
    <row r="399" spans="1:11" ht="30" customHeight="1" x14ac:dyDescent="0.25">
      <c r="A399" s="2" t="s">
        <v>16</v>
      </c>
      <c r="B399" s="2" t="s">
        <v>331</v>
      </c>
      <c r="C399" s="8"/>
      <c r="D399" s="8"/>
      <c r="E399" s="8"/>
      <c r="F399" s="8"/>
      <c r="G399" s="8"/>
      <c r="H399" s="8"/>
      <c r="K399" s="4"/>
    </row>
    <row r="400" spans="1:11" ht="30" customHeight="1" x14ac:dyDescent="0.25">
      <c r="A400" s="2" t="s">
        <v>18</v>
      </c>
      <c r="B400" s="2" t="s">
        <v>254</v>
      </c>
      <c r="C400" s="8"/>
      <c r="D400" s="8"/>
      <c r="E400" s="8"/>
      <c r="F400" s="8"/>
      <c r="G400" s="8"/>
      <c r="H400" s="8"/>
      <c r="K400" s="4"/>
    </row>
    <row r="401" spans="1:11" ht="30" customHeight="1" x14ac:dyDescent="0.25">
      <c r="A401" s="2" t="s">
        <v>71</v>
      </c>
      <c r="B401" s="2" t="s">
        <v>332</v>
      </c>
      <c r="C401" s="8"/>
      <c r="D401" s="8"/>
      <c r="E401" s="8"/>
      <c r="F401" s="8"/>
      <c r="G401" s="8"/>
      <c r="H401" s="8"/>
      <c r="K401" s="4"/>
    </row>
    <row r="402" spans="1:11" ht="30" customHeight="1" x14ac:dyDescent="0.25">
      <c r="A402" s="91">
        <v>44172</v>
      </c>
      <c r="B402" s="92"/>
      <c r="C402" s="92"/>
      <c r="D402" s="92"/>
      <c r="E402" s="92"/>
      <c r="F402" s="92"/>
      <c r="G402" s="92"/>
      <c r="H402" s="93"/>
      <c r="K402" s="4"/>
    </row>
    <row r="403" spans="1:11" s="7" customFormat="1" ht="30" customHeight="1" x14ac:dyDescent="0.3">
      <c r="A403" s="70" t="s">
        <v>38</v>
      </c>
      <c r="B403" s="70" t="s">
        <v>39</v>
      </c>
      <c r="C403" s="70" t="s">
        <v>40</v>
      </c>
      <c r="D403" s="70" t="s">
        <v>41</v>
      </c>
      <c r="E403" s="70" t="s">
        <v>42</v>
      </c>
      <c r="F403" s="70" t="s">
        <v>43</v>
      </c>
      <c r="G403" s="70" t="s">
        <v>44</v>
      </c>
      <c r="H403" s="70" t="s">
        <v>45</v>
      </c>
      <c r="K403" s="4"/>
    </row>
    <row r="404" spans="1:11" ht="30" customHeight="1" x14ac:dyDescent="0.25">
      <c r="A404" s="2" t="s">
        <v>3</v>
      </c>
      <c r="B404" s="2" t="s">
        <v>333</v>
      </c>
      <c r="C404" s="8"/>
      <c r="D404" s="8"/>
      <c r="E404" s="8"/>
      <c r="F404" s="8"/>
      <c r="G404" s="8"/>
      <c r="H404" s="8"/>
      <c r="K404" s="4"/>
    </row>
    <row r="405" spans="1:11" ht="30" customHeight="1" x14ac:dyDescent="0.25">
      <c r="A405" s="2" t="s">
        <v>6</v>
      </c>
      <c r="B405" s="2" t="s">
        <v>257</v>
      </c>
      <c r="C405" s="8"/>
      <c r="D405" s="8"/>
      <c r="E405" s="8"/>
      <c r="F405" s="8"/>
      <c r="G405" s="8"/>
      <c r="H405" s="8"/>
      <c r="K405" s="4"/>
    </row>
    <row r="406" spans="1:11" ht="30" customHeight="1" x14ac:dyDescent="0.25">
      <c r="A406" s="2" t="s">
        <v>9</v>
      </c>
      <c r="B406" s="2" t="s">
        <v>255</v>
      </c>
      <c r="C406" s="8"/>
      <c r="D406" s="8"/>
      <c r="E406" s="8"/>
      <c r="F406" s="8"/>
      <c r="G406" s="8"/>
      <c r="H406" s="8"/>
      <c r="K406" s="4"/>
    </row>
    <row r="407" spans="1:11" ht="30" customHeight="1" x14ac:dyDescent="0.25">
      <c r="A407" s="2" t="s">
        <v>12</v>
      </c>
      <c r="B407" s="2" t="s">
        <v>258</v>
      </c>
      <c r="C407" s="8"/>
      <c r="D407" s="8"/>
      <c r="E407" s="8"/>
      <c r="F407" s="8"/>
      <c r="G407" s="8"/>
      <c r="H407" s="8"/>
      <c r="K407" s="4"/>
    </row>
    <row r="408" spans="1:11" ht="30" customHeight="1" x14ac:dyDescent="0.25">
      <c r="A408" s="2" t="s">
        <v>14</v>
      </c>
      <c r="B408" s="2" t="s">
        <v>256</v>
      </c>
      <c r="C408" s="8"/>
      <c r="D408" s="8"/>
      <c r="E408" s="8"/>
      <c r="F408" s="8"/>
      <c r="G408" s="8"/>
      <c r="H408" s="8"/>
      <c r="K408" s="4"/>
    </row>
    <row r="409" spans="1:11" ht="30" customHeight="1" x14ac:dyDescent="0.25">
      <c r="A409" s="2" t="s">
        <v>16</v>
      </c>
      <c r="B409" s="2" t="s">
        <v>271</v>
      </c>
      <c r="C409" s="8"/>
      <c r="D409" s="8"/>
      <c r="E409" s="8"/>
      <c r="F409" s="8"/>
      <c r="G409" s="8"/>
      <c r="H409" s="8"/>
      <c r="K409" s="4"/>
    </row>
    <row r="410" spans="1:11" ht="30" customHeight="1" x14ac:dyDescent="0.25">
      <c r="A410" s="2" t="s">
        <v>18</v>
      </c>
      <c r="B410" s="2" t="s">
        <v>259</v>
      </c>
      <c r="C410" s="8"/>
      <c r="D410" s="8"/>
      <c r="E410" s="8"/>
      <c r="F410" s="8"/>
      <c r="G410" s="8"/>
      <c r="H410" s="8"/>
      <c r="K410" s="4"/>
    </row>
    <row r="411" spans="1:11" ht="30" customHeight="1" x14ac:dyDescent="0.25">
      <c r="A411" s="2" t="s">
        <v>71</v>
      </c>
      <c r="B411" s="2" t="s">
        <v>260</v>
      </c>
      <c r="C411" s="8"/>
      <c r="D411" s="8"/>
      <c r="E411" s="8"/>
      <c r="F411" s="8"/>
      <c r="G411" s="8"/>
      <c r="H411" s="8"/>
      <c r="K411" s="4"/>
    </row>
    <row r="412" spans="1:11" ht="30" customHeight="1" x14ac:dyDescent="0.25">
      <c r="A412" s="91">
        <v>44174</v>
      </c>
      <c r="B412" s="92"/>
      <c r="C412" s="92"/>
      <c r="D412" s="92"/>
      <c r="E412" s="92"/>
      <c r="F412" s="92"/>
      <c r="G412" s="92"/>
      <c r="H412" s="93"/>
      <c r="K412" s="4"/>
    </row>
    <row r="413" spans="1:11" s="7" customFormat="1" ht="30" customHeight="1" x14ac:dyDescent="0.3">
      <c r="A413" s="70" t="s">
        <v>38</v>
      </c>
      <c r="B413" s="70" t="s">
        <v>39</v>
      </c>
      <c r="C413" s="70" t="s">
        <v>40</v>
      </c>
      <c r="D413" s="70" t="s">
        <v>41</v>
      </c>
      <c r="E413" s="70" t="s">
        <v>42</v>
      </c>
      <c r="F413" s="70" t="s">
        <v>43</v>
      </c>
      <c r="G413" s="70" t="s">
        <v>44</v>
      </c>
      <c r="H413" s="70" t="s">
        <v>45</v>
      </c>
      <c r="K413" s="4"/>
    </row>
    <row r="414" spans="1:11" ht="30" customHeight="1" x14ac:dyDescent="0.25">
      <c r="A414" s="2" t="s">
        <v>3</v>
      </c>
      <c r="B414" s="2" t="s">
        <v>261</v>
      </c>
      <c r="C414" s="8"/>
      <c r="D414" s="8"/>
      <c r="E414" s="8"/>
      <c r="F414" s="8"/>
      <c r="G414" s="8"/>
      <c r="H414" s="8"/>
      <c r="K414" s="4"/>
    </row>
    <row r="415" spans="1:11" ht="30" customHeight="1" x14ac:dyDescent="0.25">
      <c r="A415" s="2" t="s">
        <v>6</v>
      </c>
      <c r="B415" s="2" t="s">
        <v>272</v>
      </c>
      <c r="C415" s="8"/>
      <c r="D415" s="8"/>
      <c r="E415" s="8"/>
      <c r="F415" s="8"/>
      <c r="G415" s="8"/>
      <c r="H415" s="8"/>
      <c r="K415" s="4"/>
    </row>
    <row r="416" spans="1:11" ht="30" customHeight="1" x14ac:dyDescent="0.25">
      <c r="A416" s="2" t="s">
        <v>9</v>
      </c>
      <c r="B416" s="2" t="s">
        <v>262</v>
      </c>
      <c r="C416" s="8"/>
      <c r="D416" s="8"/>
      <c r="E416" s="8"/>
      <c r="F416" s="8"/>
      <c r="G416" s="8"/>
      <c r="H416" s="8"/>
      <c r="K416" s="4"/>
    </row>
    <row r="417" spans="1:11" ht="30" customHeight="1" x14ac:dyDescent="0.25">
      <c r="A417" s="2" t="s">
        <v>12</v>
      </c>
      <c r="B417" s="2" t="s">
        <v>273</v>
      </c>
      <c r="C417" s="8"/>
      <c r="D417" s="8"/>
      <c r="E417" s="8"/>
      <c r="F417" s="8"/>
      <c r="G417" s="8"/>
      <c r="H417" s="8"/>
      <c r="K417" s="4"/>
    </row>
    <row r="418" spans="1:11" ht="30" customHeight="1" x14ac:dyDescent="0.25">
      <c r="A418" s="2" t="s">
        <v>14</v>
      </c>
      <c r="B418" s="2" t="s">
        <v>263</v>
      </c>
      <c r="C418" s="8"/>
      <c r="D418" s="8"/>
      <c r="E418" s="8"/>
      <c r="F418" s="8"/>
      <c r="G418" s="8"/>
      <c r="H418" s="8"/>
      <c r="K418" s="4"/>
    </row>
    <row r="419" spans="1:11" ht="30" customHeight="1" x14ac:dyDescent="0.25">
      <c r="A419" s="2" t="s">
        <v>16</v>
      </c>
      <c r="B419" s="2" t="s">
        <v>274</v>
      </c>
      <c r="C419" s="8"/>
      <c r="D419" s="8"/>
      <c r="E419" s="8"/>
      <c r="F419" s="8"/>
      <c r="G419" s="8"/>
      <c r="H419" s="8"/>
      <c r="K419" s="4"/>
    </row>
    <row r="420" spans="1:11" ht="30" customHeight="1" x14ac:dyDescent="0.25">
      <c r="A420" s="2" t="s">
        <v>18</v>
      </c>
      <c r="B420" s="2" t="s">
        <v>264</v>
      </c>
      <c r="C420" s="8"/>
      <c r="D420" s="8"/>
      <c r="E420" s="8"/>
      <c r="F420" s="8"/>
      <c r="G420" s="8"/>
      <c r="H420" s="8"/>
      <c r="K420" s="4"/>
    </row>
    <row r="421" spans="1:11" ht="30" customHeight="1" x14ac:dyDescent="0.25">
      <c r="A421" s="2" t="s">
        <v>71</v>
      </c>
      <c r="B421" s="2" t="s">
        <v>265</v>
      </c>
      <c r="C421" s="8"/>
      <c r="D421" s="8"/>
      <c r="E421" s="8"/>
      <c r="F421" s="8"/>
      <c r="G421" s="8"/>
      <c r="H421" s="8"/>
      <c r="K421" s="4"/>
    </row>
    <row r="422" spans="1:11" ht="30" customHeight="1" x14ac:dyDescent="0.25">
      <c r="A422" s="91">
        <v>44176</v>
      </c>
      <c r="B422" s="92"/>
      <c r="C422" s="92"/>
      <c r="D422" s="92"/>
      <c r="E422" s="92"/>
      <c r="F422" s="92"/>
      <c r="G422" s="92"/>
      <c r="H422" s="93"/>
      <c r="K422" s="4"/>
    </row>
    <row r="423" spans="1:11" s="7" customFormat="1" ht="30" customHeight="1" x14ac:dyDescent="0.3">
      <c r="A423" s="70" t="s">
        <v>38</v>
      </c>
      <c r="B423" s="70" t="s">
        <v>39</v>
      </c>
      <c r="C423" s="70" t="s">
        <v>40</v>
      </c>
      <c r="D423" s="70" t="s">
        <v>41</v>
      </c>
      <c r="E423" s="70" t="s">
        <v>42</v>
      </c>
      <c r="F423" s="70" t="s">
        <v>43</v>
      </c>
      <c r="G423" s="70" t="s">
        <v>44</v>
      </c>
      <c r="H423" s="70" t="s">
        <v>45</v>
      </c>
      <c r="K423" s="4"/>
    </row>
    <row r="424" spans="1:11" ht="30" customHeight="1" x14ac:dyDescent="0.25">
      <c r="A424" s="2" t="s">
        <v>3</v>
      </c>
      <c r="B424" s="2" t="s">
        <v>266</v>
      </c>
      <c r="C424" s="8"/>
      <c r="D424" s="8"/>
      <c r="E424" s="8"/>
      <c r="F424" s="8"/>
      <c r="G424" s="8"/>
      <c r="H424" s="8"/>
      <c r="K424" s="4"/>
    </row>
    <row r="425" spans="1:11" ht="30" customHeight="1" x14ac:dyDescent="0.25">
      <c r="A425" s="2" t="s">
        <v>6</v>
      </c>
      <c r="B425" s="2" t="s">
        <v>275</v>
      </c>
      <c r="C425" s="8"/>
      <c r="D425" s="8"/>
      <c r="E425" s="8"/>
      <c r="F425" s="8"/>
      <c r="G425" s="8"/>
      <c r="H425" s="8"/>
      <c r="K425" s="4"/>
    </row>
    <row r="426" spans="1:11" ht="30" customHeight="1" x14ac:dyDescent="0.25">
      <c r="A426" s="2" t="s">
        <v>9</v>
      </c>
      <c r="B426" s="2" t="s">
        <v>267</v>
      </c>
      <c r="C426" s="8"/>
      <c r="D426" s="8"/>
      <c r="E426" s="8"/>
      <c r="F426" s="8"/>
      <c r="G426" s="8"/>
      <c r="H426" s="8"/>
      <c r="K426" s="4"/>
    </row>
    <row r="427" spans="1:11" ht="30" customHeight="1" x14ac:dyDescent="0.25">
      <c r="A427" s="2" t="s">
        <v>12</v>
      </c>
      <c r="B427" s="2" t="s">
        <v>276</v>
      </c>
      <c r="C427" s="8"/>
      <c r="D427" s="8"/>
      <c r="E427" s="8"/>
      <c r="F427" s="8"/>
      <c r="G427" s="8"/>
      <c r="H427" s="8"/>
      <c r="K427" s="4"/>
    </row>
    <row r="428" spans="1:11" ht="30" customHeight="1" x14ac:dyDescent="0.25">
      <c r="A428" s="2" t="s">
        <v>14</v>
      </c>
      <c r="B428" s="2" t="s">
        <v>268</v>
      </c>
      <c r="C428" s="8"/>
      <c r="D428" s="8"/>
      <c r="E428" s="8"/>
      <c r="F428" s="8"/>
      <c r="G428" s="8"/>
      <c r="H428" s="8"/>
      <c r="K428" s="4"/>
    </row>
    <row r="429" spans="1:11" ht="30" customHeight="1" x14ac:dyDescent="0.25">
      <c r="A429" s="2" t="s">
        <v>16</v>
      </c>
      <c r="B429" s="2" t="s">
        <v>277</v>
      </c>
      <c r="C429" s="8"/>
      <c r="D429" s="8"/>
      <c r="E429" s="8"/>
      <c r="F429" s="8"/>
      <c r="G429" s="8"/>
      <c r="H429" s="8"/>
      <c r="K429" s="4"/>
    </row>
    <row r="430" spans="1:11" ht="30" customHeight="1" x14ac:dyDescent="0.25">
      <c r="A430" s="2" t="s">
        <v>18</v>
      </c>
      <c r="B430" s="2" t="s">
        <v>269</v>
      </c>
      <c r="C430" s="8"/>
      <c r="D430" s="8"/>
      <c r="E430" s="8"/>
      <c r="F430" s="8"/>
      <c r="G430" s="8"/>
      <c r="H430" s="8"/>
      <c r="K430" s="4"/>
    </row>
    <row r="431" spans="1:11" ht="30" customHeight="1" x14ac:dyDescent="0.25">
      <c r="A431" s="2" t="s">
        <v>71</v>
      </c>
      <c r="B431" s="2" t="s">
        <v>270</v>
      </c>
      <c r="C431" s="8"/>
      <c r="D431" s="8"/>
      <c r="E431" s="8"/>
      <c r="F431" s="8"/>
      <c r="G431" s="8"/>
      <c r="H431" s="8"/>
      <c r="K431" s="4"/>
    </row>
  </sheetData>
  <mergeCells count="44">
    <mergeCell ref="A12:H12"/>
    <mergeCell ref="A22:H22"/>
    <mergeCell ref="A32:H32"/>
    <mergeCell ref="A392:H392"/>
    <mergeCell ref="A402:H402"/>
    <mergeCell ref="A412:H412"/>
    <mergeCell ref="A422:H422"/>
    <mergeCell ref="A342:H342"/>
    <mergeCell ref="A352:H352"/>
    <mergeCell ref="A362:H362"/>
    <mergeCell ref="A372:H372"/>
    <mergeCell ref="A382:H382"/>
    <mergeCell ref="A292:H292"/>
    <mergeCell ref="A302:H302"/>
    <mergeCell ref="A312:H312"/>
    <mergeCell ref="A322:H322"/>
    <mergeCell ref="A332:H332"/>
    <mergeCell ref="A242:H242"/>
    <mergeCell ref="A252:H252"/>
    <mergeCell ref="A262:H262"/>
    <mergeCell ref="A272:H272"/>
    <mergeCell ref="A282:H282"/>
    <mergeCell ref="A192:H192"/>
    <mergeCell ref="A202:H202"/>
    <mergeCell ref="A212:H212"/>
    <mergeCell ref="A222:H222"/>
    <mergeCell ref="A232:H232"/>
    <mergeCell ref="A142:H142"/>
    <mergeCell ref="A152:H152"/>
    <mergeCell ref="A162:H162"/>
    <mergeCell ref="A172:H172"/>
    <mergeCell ref="A182:H182"/>
    <mergeCell ref="A92:H92"/>
    <mergeCell ref="A102:H102"/>
    <mergeCell ref="A112:H112"/>
    <mergeCell ref="A122:H122"/>
    <mergeCell ref="A132:H132"/>
    <mergeCell ref="A42:H42"/>
    <mergeCell ref="A52:H52"/>
    <mergeCell ref="A62:H62"/>
    <mergeCell ref="A72:H72"/>
    <mergeCell ref="A82:H82"/>
    <mergeCell ref="A1:H1"/>
    <mergeCell ref="A2:H2"/>
  </mergeCells>
  <pageMargins left="0.25" right="0.25" top="0.25" bottom="0.75" header="0" footer="0"/>
  <pageSetup orientation="landscape" r:id="rId1"/>
  <headerFooter>
    <oddFooter>&amp;L&amp;"-,Bold"&amp;14Commons Crew Managers:&amp;"-,Regular"&amp;11
&amp;12Manager1, Phone1, Room1
Manager2, Phone2, Room2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C3E87-D929-4989-A11F-86991E5A6FAE}">
  <sheetPr codeName="Sheet4"/>
  <dimension ref="A1:S37"/>
  <sheetViews>
    <sheetView showGridLines="0" zoomScale="75" zoomScaleNormal="75" workbookViewId="0">
      <selection activeCell="I31" sqref="I31:J31"/>
    </sheetView>
  </sheetViews>
  <sheetFormatPr defaultColWidth="8.88671875" defaultRowHeight="13.2" x14ac:dyDescent="0.25"/>
  <cols>
    <col min="1" max="1" width="4.88671875" style="13" customWidth="1"/>
    <col min="2" max="2" width="13.6640625" style="13" customWidth="1"/>
    <col min="3" max="3" width="4.88671875" style="13" customWidth="1"/>
    <col min="4" max="4" width="13.6640625" style="13" customWidth="1"/>
    <col min="5" max="5" width="4.88671875" style="13" customWidth="1"/>
    <col min="6" max="6" width="13.6640625" style="13" customWidth="1"/>
    <col min="7" max="7" width="4.88671875" style="13" customWidth="1"/>
    <col min="8" max="8" width="13.6640625" style="13" customWidth="1"/>
    <col min="9" max="9" width="4.88671875" style="13" customWidth="1"/>
    <col min="10" max="10" width="13.6640625" style="13" customWidth="1"/>
    <col min="11" max="11" width="4.88671875" style="13" customWidth="1"/>
    <col min="12" max="12" width="13.6640625" style="13" customWidth="1"/>
    <col min="13" max="13" width="4.88671875" style="13" customWidth="1"/>
    <col min="14" max="14" width="13.6640625" style="13" customWidth="1"/>
    <col min="15" max="15" width="4.88671875" style="13" customWidth="1"/>
    <col min="16" max="16384" width="8.88671875" style="13"/>
  </cols>
  <sheetData>
    <row r="1" spans="1:19" s="21" customFormat="1" ht="13.95" customHeight="1" x14ac:dyDescent="0.25">
      <c r="A1" s="106" t="s">
        <v>78</v>
      </c>
      <c r="B1" s="106"/>
      <c r="C1" s="106"/>
      <c r="D1" s="106"/>
      <c r="E1" s="106"/>
      <c r="F1" s="106"/>
      <c r="G1" s="106"/>
      <c r="H1" s="106"/>
    </row>
    <row r="2" spans="1:19" s="17" customFormat="1" ht="17.399999999999999" customHeight="1" x14ac:dyDescent="0.3">
      <c r="A2" s="106"/>
      <c r="B2" s="106"/>
      <c r="C2" s="106"/>
      <c r="D2" s="106"/>
      <c r="E2" s="106"/>
      <c r="F2" s="106"/>
      <c r="G2" s="106"/>
      <c r="H2" s="106"/>
      <c r="I2" s="19"/>
      <c r="J2" s="23" t="s">
        <v>47</v>
      </c>
      <c r="K2" s="24"/>
      <c r="L2" s="24"/>
      <c r="M2" s="25"/>
    </row>
    <row r="3" spans="1:19" s="16" customFormat="1" ht="17.399999999999999" customHeight="1" x14ac:dyDescent="0.3">
      <c r="A3" s="106"/>
      <c r="B3" s="106"/>
      <c r="C3" s="106"/>
      <c r="D3" s="106"/>
      <c r="E3" s="106"/>
      <c r="F3" s="106"/>
      <c r="G3" s="106"/>
      <c r="H3" s="106"/>
      <c r="I3" s="19"/>
      <c r="J3" s="23" t="s">
        <v>48</v>
      </c>
      <c r="K3" s="24"/>
      <c r="L3" s="24"/>
      <c r="M3" s="25"/>
    </row>
    <row r="4" spans="1:19" s="16" customFormat="1" ht="17.399999999999999" customHeight="1" x14ac:dyDescent="0.3">
      <c r="A4" s="106"/>
      <c r="B4" s="106"/>
      <c r="C4" s="106"/>
      <c r="D4" s="106"/>
      <c r="E4" s="106"/>
      <c r="F4" s="106"/>
      <c r="G4" s="106"/>
      <c r="H4" s="106"/>
      <c r="I4" s="19"/>
      <c r="J4" s="23" t="s">
        <v>49</v>
      </c>
      <c r="K4" s="24"/>
      <c r="L4" s="24"/>
      <c r="M4" s="25"/>
    </row>
    <row r="5" spans="1:19" s="16" customFormat="1" ht="17.399999999999999" customHeight="1" x14ac:dyDescent="0.3">
      <c r="A5" s="106"/>
      <c r="B5" s="106"/>
      <c r="C5" s="106"/>
      <c r="D5" s="106"/>
      <c r="E5" s="106"/>
      <c r="F5" s="106"/>
      <c r="G5" s="106"/>
      <c r="H5" s="106"/>
      <c r="I5" s="19"/>
      <c r="J5" s="23" t="s">
        <v>50</v>
      </c>
      <c r="K5" s="24"/>
      <c r="L5" s="24"/>
      <c r="M5" s="25"/>
    </row>
    <row r="6" spans="1:19" s="16" customFormat="1" ht="9" customHeight="1" x14ac:dyDescent="0.3">
      <c r="A6" s="106"/>
      <c r="B6" s="106"/>
      <c r="C6" s="106"/>
      <c r="D6" s="106"/>
      <c r="E6" s="106"/>
      <c r="F6" s="106"/>
      <c r="G6" s="106"/>
      <c r="H6" s="106"/>
      <c r="I6" s="20"/>
      <c r="J6" s="26"/>
      <c r="K6" s="26"/>
      <c r="L6" s="26"/>
      <c r="M6" s="26"/>
    </row>
    <row r="7" spans="1:19" s="14" customFormat="1" ht="21" customHeight="1" x14ac:dyDescent="0.3">
      <c r="A7" s="107">
        <f>2</f>
        <v>2</v>
      </c>
      <c r="B7" s="107"/>
      <c r="C7" s="107">
        <f>3</f>
        <v>3</v>
      </c>
      <c r="D7" s="107"/>
      <c r="E7" s="107">
        <f>4</f>
        <v>4</v>
      </c>
      <c r="F7" s="107"/>
      <c r="G7" s="107">
        <f>5</f>
        <v>5</v>
      </c>
      <c r="H7" s="107"/>
      <c r="I7" s="107">
        <f>6</f>
        <v>6</v>
      </c>
      <c r="J7" s="107"/>
      <c r="K7" s="107">
        <f>7</f>
        <v>7</v>
      </c>
      <c r="L7" s="107"/>
      <c r="M7" s="107">
        <f>1</f>
        <v>1</v>
      </c>
      <c r="N7" s="107"/>
    </row>
    <row r="8" spans="1:19" s="22" customFormat="1" ht="19.8" x14ac:dyDescent="0.3">
      <c r="A8" s="102"/>
      <c r="B8" s="103"/>
      <c r="C8" s="104"/>
      <c r="D8" s="105"/>
      <c r="E8" s="104"/>
      <c r="F8" s="105"/>
      <c r="G8" s="104"/>
      <c r="H8" s="105"/>
      <c r="I8" s="104"/>
      <c r="J8" s="105"/>
      <c r="K8" s="104"/>
      <c r="L8" s="105"/>
      <c r="M8" s="104"/>
      <c r="N8" s="105"/>
    </row>
    <row r="9" spans="1:19" s="14" customFormat="1" ht="13.95" customHeight="1" x14ac:dyDescent="0.3">
      <c r="A9" s="94"/>
      <c r="B9" s="95"/>
      <c r="C9" s="96"/>
      <c r="D9" s="97"/>
      <c r="E9" s="96"/>
      <c r="F9" s="97"/>
      <c r="G9" s="96"/>
      <c r="H9" s="97"/>
      <c r="I9" s="96"/>
      <c r="J9" s="97"/>
      <c r="K9" s="96"/>
      <c r="L9" s="97"/>
      <c r="M9" s="96"/>
      <c r="N9" s="97"/>
    </row>
    <row r="10" spans="1:19" s="14" customFormat="1" ht="13.95" customHeight="1" x14ac:dyDescent="0.3">
      <c r="A10" s="94"/>
      <c r="B10" s="95"/>
      <c r="C10" s="96"/>
      <c r="D10" s="97"/>
      <c r="E10" s="96"/>
      <c r="F10" s="97"/>
      <c r="G10" s="96"/>
      <c r="H10" s="97"/>
      <c r="I10" s="96"/>
      <c r="J10" s="97"/>
      <c r="K10" s="96"/>
      <c r="L10" s="97"/>
      <c r="M10" s="96"/>
      <c r="N10" s="97"/>
      <c r="S10" s="22"/>
    </row>
    <row r="11" spans="1:19" s="14" customFormat="1" ht="13.95" customHeight="1" x14ac:dyDescent="0.3">
      <c r="A11" s="94"/>
      <c r="B11" s="95"/>
      <c r="C11" s="96"/>
      <c r="D11" s="97"/>
      <c r="E11" s="96"/>
      <c r="F11" s="97"/>
      <c r="G11" s="96"/>
      <c r="H11" s="97"/>
      <c r="I11" s="96"/>
      <c r="J11" s="97"/>
      <c r="K11" s="96"/>
      <c r="L11" s="97"/>
      <c r="M11" s="96"/>
      <c r="N11" s="97"/>
    </row>
    <row r="12" spans="1:19" s="15" customFormat="1" ht="13.95" customHeight="1" x14ac:dyDescent="0.25">
      <c r="A12" s="98"/>
      <c r="B12" s="99"/>
      <c r="C12" s="100"/>
      <c r="D12" s="101"/>
      <c r="E12" s="100"/>
      <c r="F12" s="101"/>
      <c r="G12" s="100"/>
      <c r="H12" s="101"/>
      <c r="I12" s="100"/>
      <c r="J12" s="101"/>
      <c r="K12" s="100"/>
      <c r="L12" s="101"/>
      <c r="M12" s="100"/>
      <c r="N12" s="101"/>
      <c r="S12" s="13"/>
    </row>
    <row r="13" spans="1:19" s="22" customFormat="1" ht="19.8" x14ac:dyDescent="0.25">
      <c r="A13" s="102"/>
      <c r="B13" s="103"/>
      <c r="C13" s="104"/>
      <c r="D13" s="105"/>
      <c r="E13" s="104"/>
      <c r="F13" s="105"/>
      <c r="G13" s="104"/>
      <c r="H13" s="105"/>
      <c r="I13" s="104"/>
      <c r="J13" s="105"/>
      <c r="K13" s="104"/>
      <c r="L13" s="105"/>
      <c r="M13" s="104"/>
      <c r="N13" s="105"/>
      <c r="S13" s="13"/>
    </row>
    <row r="14" spans="1:19" s="14" customFormat="1" ht="13.95" customHeight="1" x14ac:dyDescent="0.25">
      <c r="A14" s="94"/>
      <c r="B14" s="95"/>
      <c r="C14" s="96"/>
      <c r="D14" s="97"/>
      <c r="E14" s="96"/>
      <c r="F14" s="97"/>
      <c r="G14" s="96"/>
      <c r="H14" s="97"/>
      <c r="I14" s="96"/>
      <c r="J14" s="97"/>
      <c r="K14" s="96"/>
      <c r="L14" s="97"/>
      <c r="M14" s="96"/>
      <c r="N14" s="97"/>
      <c r="S14" s="13"/>
    </row>
    <row r="15" spans="1:19" s="14" customFormat="1" ht="13.95" customHeight="1" x14ac:dyDescent="0.25">
      <c r="A15" s="94"/>
      <c r="B15" s="95"/>
      <c r="C15" s="96"/>
      <c r="D15" s="97"/>
      <c r="E15" s="96"/>
      <c r="F15" s="97"/>
      <c r="G15" s="96"/>
      <c r="H15" s="97"/>
      <c r="I15" s="96"/>
      <c r="J15" s="97"/>
      <c r="K15" s="96"/>
      <c r="L15" s="97"/>
      <c r="M15" s="96"/>
      <c r="N15" s="97"/>
      <c r="S15" s="13"/>
    </row>
    <row r="16" spans="1:19" s="14" customFormat="1" ht="13.95" customHeight="1" x14ac:dyDescent="0.25">
      <c r="A16" s="94"/>
      <c r="B16" s="95"/>
      <c r="C16" s="96"/>
      <c r="D16" s="97"/>
      <c r="E16" s="96"/>
      <c r="F16" s="97"/>
      <c r="G16" s="96"/>
      <c r="H16" s="97"/>
      <c r="I16" s="96"/>
      <c r="J16" s="97"/>
      <c r="K16" s="96"/>
      <c r="L16" s="97"/>
      <c r="M16" s="96"/>
      <c r="N16" s="97"/>
      <c r="S16" s="13"/>
    </row>
    <row r="17" spans="1:19" s="15" customFormat="1" ht="13.95" customHeight="1" x14ac:dyDescent="0.25">
      <c r="A17" s="98"/>
      <c r="B17" s="99"/>
      <c r="C17" s="100"/>
      <c r="D17" s="101"/>
      <c r="E17" s="100"/>
      <c r="F17" s="101"/>
      <c r="G17" s="100"/>
      <c r="H17" s="101"/>
      <c r="I17" s="100"/>
      <c r="J17" s="101"/>
      <c r="K17" s="100"/>
      <c r="L17" s="101"/>
      <c r="M17" s="100"/>
      <c r="N17" s="101"/>
      <c r="S17" s="13"/>
    </row>
    <row r="18" spans="1:19" s="22" customFormat="1" ht="19.8" x14ac:dyDescent="0.25">
      <c r="A18" s="102"/>
      <c r="B18" s="103"/>
      <c r="C18" s="104"/>
      <c r="D18" s="105"/>
      <c r="E18" s="104"/>
      <c r="F18" s="105"/>
      <c r="G18" s="104"/>
      <c r="H18" s="105"/>
      <c r="I18" s="104"/>
      <c r="J18" s="105"/>
      <c r="K18" s="104"/>
      <c r="L18" s="105"/>
      <c r="M18" s="104"/>
      <c r="N18" s="105"/>
      <c r="S18" s="13"/>
    </row>
    <row r="19" spans="1:19" s="14" customFormat="1" ht="13.95" customHeight="1" x14ac:dyDescent="0.25">
      <c r="A19" s="94"/>
      <c r="B19" s="95"/>
      <c r="C19" s="96"/>
      <c r="D19" s="97"/>
      <c r="E19" s="96"/>
      <c r="F19" s="97"/>
      <c r="G19" s="96"/>
      <c r="H19" s="97"/>
      <c r="I19" s="96"/>
      <c r="J19" s="97"/>
      <c r="K19" s="96"/>
      <c r="L19" s="97"/>
      <c r="M19" s="96"/>
      <c r="N19" s="97"/>
      <c r="S19" s="13"/>
    </row>
    <row r="20" spans="1:19" s="14" customFormat="1" ht="13.95" customHeight="1" x14ac:dyDescent="0.25">
      <c r="A20" s="94"/>
      <c r="B20" s="95"/>
      <c r="C20" s="96"/>
      <c r="D20" s="97"/>
      <c r="E20" s="96"/>
      <c r="F20" s="97"/>
      <c r="G20" s="96"/>
      <c r="H20" s="97"/>
      <c r="I20" s="96"/>
      <c r="J20" s="97"/>
      <c r="K20" s="96"/>
      <c r="L20" s="97"/>
      <c r="M20" s="96"/>
      <c r="N20" s="97"/>
      <c r="S20" s="13"/>
    </row>
    <row r="21" spans="1:19" s="14" customFormat="1" ht="13.95" customHeight="1" x14ac:dyDescent="0.25">
      <c r="A21" s="94"/>
      <c r="B21" s="95"/>
      <c r="C21" s="96"/>
      <c r="D21" s="97"/>
      <c r="E21" s="96"/>
      <c r="F21" s="97"/>
      <c r="G21" s="96"/>
      <c r="H21" s="97"/>
      <c r="I21" s="96"/>
      <c r="J21" s="97"/>
      <c r="K21" s="96"/>
      <c r="L21" s="97"/>
      <c r="M21" s="96"/>
      <c r="N21" s="97"/>
      <c r="S21" s="13"/>
    </row>
    <row r="22" spans="1:19" s="15" customFormat="1" ht="13.95" customHeight="1" x14ac:dyDescent="0.25">
      <c r="A22" s="98"/>
      <c r="B22" s="99"/>
      <c r="C22" s="100"/>
      <c r="D22" s="101"/>
      <c r="E22" s="100"/>
      <c r="F22" s="101"/>
      <c r="G22" s="100"/>
      <c r="H22" s="101"/>
      <c r="I22" s="100"/>
      <c r="J22" s="101"/>
      <c r="K22" s="100"/>
      <c r="L22" s="101"/>
      <c r="M22" s="100"/>
      <c r="N22" s="101"/>
      <c r="S22" s="13"/>
    </row>
    <row r="23" spans="1:19" s="22" customFormat="1" ht="19.8" x14ac:dyDescent="0.25">
      <c r="A23" s="102"/>
      <c r="B23" s="103"/>
      <c r="C23" s="104"/>
      <c r="D23" s="105"/>
      <c r="E23" s="104"/>
      <c r="F23" s="105"/>
      <c r="G23" s="104"/>
      <c r="H23" s="105"/>
      <c r="I23" s="104"/>
      <c r="J23" s="105"/>
      <c r="K23" s="104"/>
      <c r="L23" s="105"/>
      <c r="M23" s="104"/>
      <c r="N23" s="105"/>
      <c r="S23" s="13"/>
    </row>
    <row r="24" spans="1:19" s="14" customFormat="1" ht="13.95" customHeight="1" x14ac:dyDescent="0.25">
      <c r="A24" s="94"/>
      <c r="B24" s="95"/>
      <c r="C24" s="96"/>
      <c r="D24" s="97"/>
      <c r="E24" s="96"/>
      <c r="F24" s="97"/>
      <c r="G24" s="96"/>
      <c r="H24" s="97"/>
      <c r="I24" s="96"/>
      <c r="J24" s="97"/>
      <c r="K24" s="96"/>
      <c r="L24" s="97"/>
      <c r="M24" s="96"/>
      <c r="N24" s="97"/>
      <c r="S24" s="13"/>
    </row>
    <row r="25" spans="1:19" s="14" customFormat="1" ht="13.95" customHeight="1" x14ac:dyDescent="0.25">
      <c r="A25" s="94"/>
      <c r="B25" s="95"/>
      <c r="C25" s="96"/>
      <c r="D25" s="97"/>
      <c r="E25" s="96"/>
      <c r="F25" s="97"/>
      <c r="G25" s="96"/>
      <c r="H25" s="97"/>
      <c r="I25" s="96"/>
      <c r="J25" s="97"/>
      <c r="K25" s="96"/>
      <c r="L25" s="97"/>
      <c r="M25" s="96"/>
      <c r="N25" s="97"/>
      <c r="S25" s="13"/>
    </row>
    <row r="26" spans="1:19" s="14" customFormat="1" ht="13.95" customHeight="1" x14ac:dyDescent="0.25">
      <c r="A26" s="94"/>
      <c r="B26" s="95"/>
      <c r="C26" s="96"/>
      <c r="D26" s="97"/>
      <c r="E26" s="96"/>
      <c r="F26" s="97"/>
      <c r="G26" s="96"/>
      <c r="H26" s="97"/>
      <c r="I26" s="96"/>
      <c r="J26" s="97"/>
      <c r="K26" s="96"/>
      <c r="L26" s="97"/>
      <c r="M26" s="96"/>
      <c r="N26" s="97"/>
      <c r="S26" s="13"/>
    </row>
    <row r="27" spans="1:19" s="15" customFormat="1" ht="13.95" customHeight="1" x14ac:dyDescent="0.25">
      <c r="A27" s="98"/>
      <c r="B27" s="99"/>
      <c r="C27" s="100"/>
      <c r="D27" s="101"/>
      <c r="E27" s="100"/>
      <c r="F27" s="101"/>
      <c r="G27" s="100"/>
      <c r="H27" s="101"/>
      <c r="I27" s="100"/>
      <c r="J27" s="101"/>
      <c r="K27" s="100"/>
      <c r="L27" s="101"/>
      <c r="M27" s="100"/>
      <c r="N27" s="101"/>
      <c r="S27" s="13"/>
    </row>
    <row r="28" spans="1:19" s="22" customFormat="1" ht="19.8" x14ac:dyDescent="0.25">
      <c r="A28" s="102"/>
      <c r="B28" s="103"/>
      <c r="C28" s="104"/>
      <c r="D28" s="105"/>
      <c r="E28" s="104"/>
      <c r="F28" s="105"/>
      <c r="G28" s="104"/>
      <c r="H28" s="105"/>
      <c r="I28" s="104"/>
      <c r="J28" s="105"/>
      <c r="K28" s="104"/>
      <c r="L28" s="105"/>
      <c r="M28" s="104"/>
      <c r="N28" s="105"/>
      <c r="S28" s="13"/>
    </row>
    <row r="29" spans="1:19" s="14" customFormat="1" ht="13.95" customHeight="1" x14ac:dyDescent="0.25">
      <c r="A29" s="94"/>
      <c r="B29" s="95"/>
      <c r="C29" s="96"/>
      <c r="D29" s="97"/>
      <c r="E29" s="96"/>
      <c r="F29" s="97"/>
      <c r="G29" s="96"/>
      <c r="H29" s="97"/>
      <c r="I29" s="96"/>
      <c r="J29" s="97"/>
      <c r="K29" s="96"/>
      <c r="L29" s="97"/>
      <c r="M29" s="96"/>
      <c r="N29" s="97"/>
      <c r="S29" s="13"/>
    </row>
    <row r="30" spans="1:19" s="14" customFormat="1" ht="13.95" customHeight="1" x14ac:dyDescent="0.25">
      <c r="A30" s="94"/>
      <c r="B30" s="95"/>
      <c r="C30" s="96"/>
      <c r="D30" s="97"/>
      <c r="E30" s="96"/>
      <c r="F30" s="97"/>
      <c r="G30" s="96"/>
      <c r="H30" s="97"/>
      <c r="I30" s="96"/>
      <c r="J30" s="97"/>
      <c r="K30" s="96"/>
      <c r="L30" s="97"/>
      <c r="M30" s="96"/>
      <c r="N30" s="97"/>
      <c r="S30" s="13"/>
    </row>
    <row r="31" spans="1:19" s="14" customFormat="1" ht="13.95" customHeight="1" x14ac:dyDescent="0.25">
      <c r="A31" s="94"/>
      <c r="B31" s="95"/>
      <c r="C31" s="96"/>
      <c r="D31" s="97"/>
      <c r="E31" s="96"/>
      <c r="F31" s="97"/>
      <c r="G31" s="96"/>
      <c r="H31" s="97"/>
      <c r="I31" s="96"/>
      <c r="J31" s="97"/>
      <c r="K31" s="96"/>
      <c r="L31" s="97"/>
      <c r="M31" s="96"/>
      <c r="N31" s="97"/>
      <c r="S31" s="13"/>
    </row>
    <row r="32" spans="1:19" s="15" customFormat="1" ht="13.95" customHeight="1" x14ac:dyDescent="0.25">
      <c r="A32" s="98"/>
      <c r="B32" s="99"/>
      <c r="C32" s="100"/>
      <c r="D32" s="101"/>
      <c r="E32" s="100"/>
      <c r="F32" s="101"/>
      <c r="G32" s="100"/>
      <c r="H32" s="101"/>
      <c r="I32" s="100"/>
      <c r="J32" s="101"/>
      <c r="K32" s="37"/>
      <c r="L32" s="38"/>
      <c r="M32" s="100"/>
      <c r="N32" s="101"/>
      <c r="S32" s="13"/>
    </row>
    <row r="33" spans="1:19" s="18" customFormat="1" ht="19.8" x14ac:dyDescent="0.4">
      <c r="A33" s="102"/>
      <c r="B33" s="103"/>
      <c r="C33" s="104"/>
      <c r="D33" s="105"/>
      <c r="E33" s="36"/>
      <c r="F33" s="27"/>
      <c r="G33" s="27"/>
      <c r="H33" s="27"/>
      <c r="I33" s="27"/>
      <c r="J33" s="28"/>
      <c r="K33" s="39"/>
      <c r="L33" s="39"/>
      <c r="M33" s="27"/>
      <c r="N33" s="29"/>
      <c r="S33" s="13"/>
    </row>
    <row r="34" spans="1:19" ht="13.95" customHeight="1" x14ac:dyDescent="0.25">
      <c r="A34" s="94"/>
      <c r="B34" s="95"/>
      <c r="C34" s="96"/>
      <c r="D34" s="97"/>
      <c r="E34" s="30"/>
      <c r="F34" s="30"/>
      <c r="G34" s="30"/>
      <c r="H34" s="30"/>
      <c r="I34" s="30"/>
      <c r="J34" s="30"/>
      <c r="K34" s="21"/>
      <c r="L34" s="21"/>
      <c r="M34" s="31"/>
      <c r="N34" s="32"/>
    </row>
    <row r="35" spans="1:19" ht="13.95" customHeight="1" x14ac:dyDescent="0.25">
      <c r="A35" s="94"/>
      <c r="B35" s="95"/>
      <c r="C35" s="96"/>
      <c r="D35" s="97"/>
      <c r="E35" s="30"/>
      <c r="F35" s="30"/>
      <c r="G35" s="30"/>
      <c r="H35" s="30"/>
      <c r="I35" s="30"/>
      <c r="J35" s="30"/>
      <c r="K35" s="21"/>
      <c r="L35" s="21"/>
      <c r="M35" s="31"/>
      <c r="N35" s="32"/>
    </row>
    <row r="36" spans="1:19" ht="13.95" customHeight="1" x14ac:dyDescent="0.25">
      <c r="A36" s="94"/>
      <c r="B36" s="95"/>
      <c r="C36" s="96"/>
      <c r="D36" s="97"/>
      <c r="E36" s="30"/>
      <c r="F36" s="30"/>
      <c r="G36" s="30"/>
      <c r="H36" s="30"/>
      <c r="I36" s="30"/>
      <c r="J36" s="30"/>
      <c r="K36" s="21"/>
      <c r="L36" s="21"/>
      <c r="M36" s="31"/>
      <c r="N36" s="32"/>
    </row>
    <row r="37" spans="1:19" s="14" customFormat="1" ht="13.95" customHeight="1" x14ac:dyDescent="0.25">
      <c r="A37" s="98"/>
      <c r="B37" s="99"/>
      <c r="C37" s="100"/>
      <c r="D37" s="101"/>
      <c r="E37" s="33"/>
      <c r="F37" s="33"/>
      <c r="G37" s="33"/>
      <c r="H37" s="33"/>
      <c r="I37" s="33"/>
      <c r="J37" s="33"/>
      <c r="K37" s="40"/>
      <c r="L37" s="40"/>
      <c r="M37" s="34"/>
      <c r="N37" s="35"/>
      <c r="S37" s="13"/>
    </row>
  </sheetData>
  <mergeCells count="192">
    <mergeCell ref="A1:H6"/>
    <mergeCell ref="A9:B9"/>
    <mergeCell ref="C9:D9"/>
    <mergeCell ref="E9:F9"/>
    <mergeCell ref="G9:H9"/>
    <mergeCell ref="I9:J9"/>
    <mergeCell ref="K9:L9"/>
    <mergeCell ref="M9:N9"/>
    <mergeCell ref="A10:B10"/>
    <mergeCell ref="C10:D10"/>
    <mergeCell ref="E10:F10"/>
    <mergeCell ref="G10:H10"/>
    <mergeCell ref="I10:J10"/>
    <mergeCell ref="K10:L10"/>
    <mergeCell ref="M10:N10"/>
    <mergeCell ref="A7:B7"/>
    <mergeCell ref="C7:D7"/>
    <mergeCell ref="E7:F7"/>
    <mergeCell ref="G7:H7"/>
    <mergeCell ref="I7:J7"/>
    <mergeCell ref="K7:L7"/>
    <mergeCell ref="M7:N7"/>
    <mergeCell ref="A8:B8"/>
    <mergeCell ref="C8:D8"/>
    <mergeCell ref="E8:F8"/>
    <mergeCell ref="G8:H8"/>
    <mergeCell ref="I8:J8"/>
    <mergeCell ref="K8:L8"/>
    <mergeCell ref="M8:N8"/>
    <mergeCell ref="A11:B11"/>
    <mergeCell ref="C11:D11"/>
    <mergeCell ref="E11:F11"/>
    <mergeCell ref="G11:H11"/>
    <mergeCell ref="I11:J11"/>
    <mergeCell ref="K11:L11"/>
    <mergeCell ref="M11:N11"/>
    <mergeCell ref="A12:B12"/>
    <mergeCell ref="C12:D12"/>
    <mergeCell ref="E12:F12"/>
    <mergeCell ref="G12:H12"/>
    <mergeCell ref="I12:J12"/>
    <mergeCell ref="K12:L12"/>
    <mergeCell ref="M12:N12"/>
    <mergeCell ref="A13:B13"/>
    <mergeCell ref="C13:D13"/>
    <mergeCell ref="E13:F13"/>
    <mergeCell ref="G13:H13"/>
    <mergeCell ref="I13:J13"/>
    <mergeCell ref="K13:L13"/>
    <mergeCell ref="M13:N13"/>
    <mergeCell ref="A14:B14"/>
    <mergeCell ref="C14:D14"/>
    <mergeCell ref="E14:F14"/>
    <mergeCell ref="G14:H14"/>
    <mergeCell ref="I14:J14"/>
    <mergeCell ref="K14:L14"/>
    <mergeCell ref="M14:N14"/>
    <mergeCell ref="A15:B15"/>
    <mergeCell ref="C15:D15"/>
    <mergeCell ref="E15:F15"/>
    <mergeCell ref="G15:H15"/>
    <mergeCell ref="I15:J15"/>
    <mergeCell ref="K15:L15"/>
    <mergeCell ref="M15:N15"/>
    <mergeCell ref="A16:B16"/>
    <mergeCell ref="C16:D16"/>
    <mergeCell ref="E16:F16"/>
    <mergeCell ref="G16:H16"/>
    <mergeCell ref="I16:J16"/>
    <mergeCell ref="K16:L16"/>
    <mergeCell ref="M16:N16"/>
    <mergeCell ref="A17:B17"/>
    <mergeCell ref="C17:D17"/>
    <mergeCell ref="E17:F17"/>
    <mergeCell ref="G17:H17"/>
    <mergeCell ref="I17:J17"/>
    <mergeCell ref="K17:L17"/>
    <mergeCell ref="M17:N17"/>
    <mergeCell ref="A18:B18"/>
    <mergeCell ref="C18:D18"/>
    <mergeCell ref="E18:F18"/>
    <mergeCell ref="G18:H18"/>
    <mergeCell ref="I18:J18"/>
    <mergeCell ref="K18:L18"/>
    <mergeCell ref="M18:N18"/>
    <mergeCell ref="A19:B19"/>
    <mergeCell ref="C19:D19"/>
    <mergeCell ref="E19:F19"/>
    <mergeCell ref="G19:H19"/>
    <mergeCell ref="I19:J19"/>
    <mergeCell ref="K19:L19"/>
    <mergeCell ref="M19:N19"/>
    <mergeCell ref="A20:B20"/>
    <mergeCell ref="C20:D20"/>
    <mergeCell ref="E20:F20"/>
    <mergeCell ref="G20:H20"/>
    <mergeCell ref="I20:J20"/>
    <mergeCell ref="K20:L20"/>
    <mergeCell ref="M20:N20"/>
    <mergeCell ref="A21:B21"/>
    <mergeCell ref="C21:D21"/>
    <mergeCell ref="E21:F21"/>
    <mergeCell ref="G21:H21"/>
    <mergeCell ref="I21:J21"/>
    <mergeCell ref="K21:L21"/>
    <mergeCell ref="M21:N21"/>
    <mergeCell ref="A22:B22"/>
    <mergeCell ref="C22:D22"/>
    <mergeCell ref="E22:F22"/>
    <mergeCell ref="G22:H22"/>
    <mergeCell ref="I22:J22"/>
    <mergeCell ref="K22:L22"/>
    <mergeCell ref="M22:N22"/>
    <mergeCell ref="A23:B23"/>
    <mergeCell ref="C23:D23"/>
    <mergeCell ref="E23:F23"/>
    <mergeCell ref="G23:H23"/>
    <mergeCell ref="I23:J23"/>
    <mergeCell ref="K23:L23"/>
    <mergeCell ref="M23:N23"/>
    <mergeCell ref="A24:B24"/>
    <mergeCell ref="C24:D24"/>
    <mergeCell ref="E24:F24"/>
    <mergeCell ref="G24:H24"/>
    <mergeCell ref="I24:J24"/>
    <mergeCell ref="K24:L24"/>
    <mergeCell ref="M24:N24"/>
    <mergeCell ref="A25:B25"/>
    <mergeCell ref="C25:D25"/>
    <mergeCell ref="E25:F25"/>
    <mergeCell ref="G25:H25"/>
    <mergeCell ref="I25:J25"/>
    <mergeCell ref="K25:L25"/>
    <mergeCell ref="M25:N25"/>
    <mergeCell ref="A26:B26"/>
    <mergeCell ref="C26:D26"/>
    <mergeCell ref="E26:F26"/>
    <mergeCell ref="G26:H26"/>
    <mergeCell ref="I26:J26"/>
    <mergeCell ref="K26:L26"/>
    <mergeCell ref="M26:N26"/>
    <mergeCell ref="A27:B27"/>
    <mergeCell ref="C27:D27"/>
    <mergeCell ref="E27:F27"/>
    <mergeCell ref="G27:H27"/>
    <mergeCell ref="I27:J27"/>
    <mergeCell ref="K27:L27"/>
    <mergeCell ref="M27:N27"/>
    <mergeCell ref="A28:B28"/>
    <mergeCell ref="C28:D28"/>
    <mergeCell ref="E28:F28"/>
    <mergeCell ref="G28:H28"/>
    <mergeCell ref="I28:J28"/>
    <mergeCell ref="K28:L28"/>
    <mergeCell ref="M28:N28"/>
    <mergeCell ref="A29:B29"/>
    <mergeCell ref="C29:D29"/>
    <mergeCell ref="E29:F29"/>
    <mergeCell ref="G29:H29"/>
    <mergeCell ref="I29:J29"/>
    <mergeCell ref="K29:L29"/>
    <mergeCell ref="M29:N29"/>
    <mergeCell ref="G32:H32"/>
    <mergeCell ref="I32:J32"/>
    <mergeCell ref="M32:N32"/>
    <mergeCell ref="A33:B33"/>
    <mergeCell ref="C33:D33"/>
    <mergeCell ref="A34:B34"/>
    <mergeCell ref="C34:D34"/>
    <mergeCell ref="A30:B30"/>
    <mergeCell ref="C30:D30"/>
    <mergeCell ref="E30:F30"/>
    <mergeCell ref="G30:H30"/>
    <mergeCell ref="I30:J30"/>
    <mergeCell ref="K30:L30"/>
    <mergeCell ref="M30:N30"/>
    <mergeCell ref="A31:B31"/>
    <mergeCell ref="C31:D31"/>
    <mergeCell ref="E31:F31"/>
    <mergeCell ref="G31:H31"/>
    <mergeCell ref="I31:J31"/>
    <mergeCell ref="K31:L31"/>
    <mergeCell ref="M31:N31"/>
    <mergeCell ref="A35:B35"/>
    <mergeCell ref="C35:D35"/>
    <mergeCell ref="A36:B36"/>
    <mergeCell ref="C36:D36"/>
    <mergeCell ref="A37:B37"/>
    <mergeCell ref="C37:D37"/>
    <mergeCell ref="A32:B32"/>
    <mergeCell ref="C32:D32"/>
    <mergeCell ref="E32:F32"/>
  </mergeCells>
  <printOptions horizontalCentered="1"/>
  <pageMargins left="0.25" right="0.25" top="0.25" bottom="0.25" header="0.3" footer="0.3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98FA1-789B-4140-8575-441394CD330B}">
  <sheetPr codeName="Sheet5"/>
  <dimension ref="A1:N37"/>
  <sheetViews>
    <sheetView showGridLines="0" zoomScale="81" zoomScaleNormal="81" zoomScalePageLayoutView="81" workbookViewId="0">
      <selection sqref="A1:H3"/>
    </sheetView>
  </sheetViews>
  <sheetFormatPr defaultColWidth="8.88671875" defaultRowHeight="13.2" x14ac:dyDescent="0.25"/>
  <cols>
    <col min="1" max="1" width="4.88671875" style="13" customWidth="1"/>
    <col min="2" max="2" width="13.6640625" style="13" customWidth="1"/>
    <col min="3" max="3" width="4.88671875" style="13" customWidth="1"/>
    <col min="4" max="4" width="13.6640625" style="13" customWidth="1"/>
    <col min="5" max="5" width="4.88671875" style="13" customWidth="1"/>
    <col min="6" max="6" width="13.6640625" style="13" customWidth="1"/>
    <col min="7" max="7" width="4.88671875" style="13" customWidth="1"/>
    <col min="8" max="8" width="13.6640625" style="13" customWidth="1"/>
    <col min="9" max="9" width="4.88671875" style="13" customWidth="1"/>
    <col min="10" max="10" width="13.6640625" style="13" customWidth="1"/>
    <col min="11" max="11" width="4.88671875" style="13" customWidth="1"/>
    <col min="12" max="12" width="13.6640625" style="13" customWidth="1"/>
    <col min="13" max="13" width="4.88671875" style="13" customWidth="1"/>
    <col min="14" max="14" width="13.6640625" style="13" customWidth="1"/>
    <col min="15" max="15" width="2.5546875" style="13" customWidth="1"/>
    <col min="16" max="16384" width="8.88671875" style="13"/>
  </cols>
  <sheetData>
    <row r="1" spans="1:14" s="21" customFormat="1" ht="14.1" customHeight="1" x14ac:dyDescent="0.25">
      <c r="A1" s="112" t="s">
        <v>24</v>
      </c>
      <c r="B1" s="112"/>
      <c r="C1" s="112"/>
      <c r="D1" s="112"/>
      <c r="E1" s="112"/>
      <c r="F1" s="112"/>
      <c r="G1" s="112"/>
      <c r="H1" s="112"/>
    </row>
    <row r="2" spans="1:14" s="17" customFormat="1" ht="17.399999999999999" customHeight="1" x14ac:dyDescent="0.3">
      <c r="A2" s="112"/>
      <c r="B2" s="112"/>
      <c r="C2" s="112"/>
      <c r="D2" s="112"/>
      <c r="E2" s="112"/>
      <c r="F2" s="112"/>
      <c r="G2" s="112"/>
      <c r="H2" s="112"/>
      <c r="I2" s="19"/>
      <c r="J2" s="23" t="s">
        <v>83</v>
      </c>
      <c r="K2" s="24"/>
      <c r="L2" s="24"/>
      <c r="M2" s="25"/>
    </row>
    <row r="3" spans="1:14" s="16" customFormat="1" ht="17.399999999999999" customHeight="1" x14ac:dyDescent="0.3">
      <c r="A3" s="112"/>
      <c r="B3" s="112"/>
      <c r="C3" s="112"/>
      <c r="D3" s="112"/>
      <c r="E3" s="112"/>
      <c r="F3" s="112"/>
      <c r="G3" s="112"/>
      <c r="H3" s="112"/>
      <c r="I3" s="19"/>
      <c r="J3" s="23" t="s">
        <v>84</v>
      </c>
      <c r="K3" s="24"/>
      <c r="L3" s="24"/>
      <c r="M3" s="25"/>
    </row>
    <row r="4" spans="1:14" s="16" customFormat="1" ht="17.399999999999999" customHeight="1" x14ac:dyDescent="0.3">
      <c r="A4" s="113" t="s">
        <v>78</v>
      </c>
      <c r="B4" s="113"/>
      <c r="C4" s="113"/>
      <c r="D4" s="113"/>
      <c r="E4" s="113"/>
      <c r="F4" s="113"/>
      <c r="G4" s="113"/>
      <c r="H4" s="113"/>
      <c r="I4" s="19"/>
      <c r="J4" s="23" t="s">
        <v>85</v>
      </c>
      <c r="K4" s="24"/>
      <c r="L4" s="24"/>
      <c r="M4" s="25"/>
    </row>
    <row r="5" spans="1:14" s="16" customFormat="1" ht="17.399999999999999" customHeight="1" x14ac:dyDescent="0.3">
      <c r="A5" s="113"/>
      <c r="B5" s="113"/>
      <c r="C5" s="113"/>
      <c r="D5" s="113"/>
      <c r="E5" s="113"/>
      <c r="F5" s="113"/>
      <c r="G5" s="113"/>
      <c r="H5" s="113"/>
      <c r="I5" s="19"/>
      <c r="J5" s="23" t="s">
        <v>86</v>
      </c>
      <c r="K5" s="24"/>
      <c r="L5" s="24"/>
      <c r="M5" s="25"/>
    </row>
    <row r="6" spans="1:14" s="16" customFormat="1" ht="9" customHeight="1" x14ac:dyDescent="0.3">
      <c r="A6" s="113"/>
      <c r="B6" s="113"/>
      <c r="C6" s="113"/>
      <c r="D6" s="113"/>
      <c r="E6" s="113"/>
      <c r="F6" s="113"/>
      <c r="G6" s="113"/>
      <c r="H6" s="113"/>
      <c r="I6" s="20"/>
      <c r="J6" s="26"/>
      <c r="K6" s="26"/>
      <c r="L6" s="26"/>
      <c r="M6" s="26"/>
    </row>
    <row r="7" spans="1:14" s="14" customFormat="1" ht="21" customHeight="1" x14ac:dyDescent="0.3">
      <c r="A7" s="114">
        <f>2</f>
        <v>2</v>
      </c>
      <c r="B7" s="115"/>
      <c r="C7" s="115">
        <f>3</f>
        <v>3</v>
      </c>
      <c r="D7" s="115"/>
      <c r="E7" s="115">
        <f>4</f>
        <v>4</v>
      </c>
      <c r="F7" s="115"/>
      <c r="G7" s="115">
        <f>5</f>
        <v>5</v>
      </c>
      <c r="H7" s="115"/>
      <c r="I7" s="115">
        <f>6</f>
        <v>6</v>
      </c>
      <c r="J7" s="115"/>
      <c r="K7" s="115">
        <f>7</f>
        <v>7</v>
      </c>
      <c r="L7" s="115"/>
      <c r="M7" s="115">
        <f>1</f>
        <v>1</v>
      </c>
      <c r="N7" s="116"/>
    </row>
    <row r="8" spans="1:14" s="22" customFormat="1" ht="19.8" x14ac:dyDescent="0.3">
      <c r="A8" s="102"/>
      <c r="B8" s="103"/>
      <c r="C8" s="104"/>
      <c r="D8" s="105"/>
      <c r="E8" s="104"/>
      <c r="F8" s="105"/>
      <c r="G8" s="104"/>
      <c r="H8" s="105"/>
      <c r="I8" s="104"/>
      <c r="J8" s="105"/>
      <c r="K8" s="104"/>
      <c r="L8" s="105"/>
      <c r="M8" s="104"/>
      <c r="N8" s="105"/>
    </row>
    <row r="9" spans="1:14" s="14" customFormat="1" ht="13.95" customHeight="1" x14ac:dyDescent="0.3">
      <c r="A9" s="94"/>
      <c r="B9" s="95"/>
      <c r="C9" s="96"/>
      <c r="D9" s="97"/>
      <c r="E9" s="96"/>
      <c r="F9" s="97"/>
      <c r="G9" s="96"/>
      <c r="H9" s="97"/>
      <c r="I9" s="96"/>
      <c r="J9" s="97"/>
      <c r="K9" s="96"/>
      <c r="L9" s="97"/>
      <c r="M9" s="96"/>
      <c r="N9" s="97"/>
    </row>
    <row r="10" spans="1:14" s="14" customFormat="1" ht="13.95" customHeight="1" x14ac:dyDescent="0.3">
      <c r="A10" s="94"/>
      <c r="B10" s="95"/>
      <c r="C10" s="96"/>
      <c r="D10" s="97"/>
      <c r="E10" s="96"/>
      <c r="F10" s="97"/>
      <c r="G10" s="96"/>
      <c r="H10" s="97"/>
      <c r="I10" s="96"/>
      <c r="J10" s="97"/>
      <c r="K10" s="96"/>
      <c r="L10" s="97"/>
      <c r="M10" s="96"/>
      <c r="N10" s="97"/>
    </row>
    <row r="11" spans="1:14" s="14" customFormat="1" ht="13.95" customHeight="1" x14ac:dyDescent="0.3">
      <c r="A11" s="108"/>
      <c r="B11" s="109"/>
      <c r="C11" s="96"/>
      <c r="D11" s="97"/>
      <c r="E11" s="96"/>
      <c r="F11" s="97"/>
      <c r="G11" s="96"/>
      <c r="H11" s="97"/>
      <c r="I11" s="96"/>
      <c r="J11" s="97"/>
      <c r="K11" s="96"/>
      <c r="L11" s="97"/>
      <c r="M11" s="96"/>
      <c r="N11" s="97"/>
    </row>
    <row r="12" spans="1:14" s="15" customFormat="1" ht="13.95" customHeight="1" x14ac:dyDescent="0.3">
      <c r="A12" s="98"/>
      <c r="B12" s="99"/>
      <c r="C12" s="100"/>
      <c r="D12" s="101"/>
      <c r="E12" s="100"/>
      <c r="F12" s="101"/>
      <c r="G12" s="100"/>
      <c r="H12" s="101"/>
      <c r="I12" s="100"/>
      <c r="J12" s="101"/>
      <c r="K12" s="100"/>
      <c r="L12" s="101"/>
      <c r="M12" s="100"/>
      <c r="N12" s="101"/>
    </row>
    <row r="13" spans="1:14" s="22" customFormat="1" ht="19.8" x14ac:dyDescent="0.3">
      <c r="A13" s="102"/>
      <c r="B13" s="103"/>
      <c r="C13" s="104"/>
      <c r="D13" s="105"/>
      <c r="E13" s="104"/>
      <c r="F13" s="105"/>
      <c r="G13" s="104"/>
      <c r="H13" s="105"/>
      <c r="I13" s="104"/>
      <c r="J13" s="105"/>
      <c r="K13" s="104"/>
      <c r="L13" s="105"/>
      <c r="M13" s="104"/>
      <c r="N13" s="105"/>
    </row>
    <row r="14" spans="1:14" s="14" customFormat="1" ht="13.95" customHeight="1" x14ac:dyDescent="0.3">
      <c r="A14" s="94"/>
      <c r="B14" s="95"/>
      <c r="C14" s="96"/>
      <c r="D14" s="97"/>
      <c r="E14" s="96"/>
      <c r="F14" s="97"/>
      <c r="G14" s="96"/>
      <c r="H14" s="97"/>
      <c r="I14" s="96"/>
      <c r="J14" s="97"/>
      <c r="K14" s="96"/>
      <c r="L14" s="97"/>
      <c r="M14" s="96"/>
      <c r="N14" s="97"/>
    </row>
    <row r="15" spans="1:14" s="14" customFormat="1" ht="13.95" customHeight="1" x14ac:dyDescent="0.3">
      <c r="A15" s="94"/>
      <c r="B15" s="95"/>
      <c r="C15" s="96"/>
      <c r="D15" s="97"/>
      <c r="E15" s="96"/>
      <c r="F15" s="97"/>
      <c r="G15" s="96"/>
      <c r="H15" s="97"/>
      <c r="I15" s="96"/>
      <c r="J15" s="97"/>
      <c r="K15" s="96"/>
      <c r="L15" s="97"/>
      <c r="M15" s="96"/>
      <c r="N15" s="97"/>
    </row>
    <row r="16" spans="1:14" s="14" customFormat="1" ht="13.95" customHeight="1" x14ac:dyDescent="0.3">
      <c r="A16" s="108"/>
      <c r="B16" s="109"/>
      <c r="C16" s="96"/>
      <c r="D16" s="97"/>
      <c r="E16" s="96"/>
      <c r="F16" s="97"/>
      <c r="G16" s="96"/>
      <c r="H16" s="97"/>
      <c r="I16" s="96"/>
      <c r="J16" s="97"/>
      <c r="K16" s="96"/>
      <c r="L16" s="97"/>
      <c r="M16" s="96"/>
      <c r="N16" s="97"/>
    </row>
    <row r="17" spans="1:14" s="15" customFormat="1" ht="13.95" customHeight="1" x14ac:dyDescent="0.3">
      <c r="A17" s="98"/>
      <c r="B17" s="99"/>
      <c r="C17" s="100"/>
      <c r="D17" s="101"/>
      <c r="E17" s="100"/>
      <c r="F17" s="101"/>
      <c r="G17" s="100"/>
      <c r="H17" s="101"/>
      <c r="I17" s="100"/>
      <c r="J17" s="101"/>
      <c r="K17" s="100"/>
      <c r="L17" s="101"/>
      <c r="M17" s="100"/>
      <c r="N17" s="101"/>
    </row>
    <row r="18" spans="1:14" s="22" customFormat="1" ht="19.8" x14ac:dyDescent="0.3">
      <c r="A18" s="102"/>
      <c r="B18" s="103"/>
      <c r="C18" s="104"/>
      <c r="D18" s="105"/>
      <c r="E18" s="104"/>
      <c r="F18" s="105"/>
      <c r="G18" s="104"/>
      <c r="H18" s="105"/>
      <c r="I18" s="104"/>
      <c r="J18" s="105"/>
      <c r="K18" s="104"/>
      <c r="L18" s="105"/>
      <c r="M18" s="104"/>
      <c r="N18" s="105"/>
    </row>
    <row r="19" spans="1:14" s="14" customFormat="1" ht="13.95" customHeight="1" x14ac:dyDescent="0.3">
      <c r="A19" s="94"/>
      <c r="B19" s="95"/>
      <c r="C19" s="96"/>
      <c r="D19" s="97"/>
      <c r="E19" s="96"/>
      <c r="F19" s="97"/>
      <c r="G19" s="96"/>
      <c r="H19" s="97"/>
      <c r="I19" s="96"/>
      <c r="J19" s="97"/>
      <c r="K19" s="96"/>
      <c r="L19" s="97"/>
      <c r="M19" s="96"/>
      <c r="N19" s="97"/>
    </row>
    <row r="20" spans="1:14" s="14" customFormat="1" ht="13.95" customHeight="1" x14ac:dyDescent="0.3">
      <c r="A20" s="94"/>
      <c r="B20" s="95"/>
      <c r="C20" s="96"/>
      <c r="D20" s="97"/>
      <c r="E20" s="96"/>
      <c r="F20" s="97"/>
      <c r="G20" s="96"/>
      <c r="H20" s="97"/>
      <c r="I20" s="96"/>
      <c r="J20" s="97"/>
      <c r="K20" s="96"/>
      <c r="L20" s="97"/>
      <c r="M20" s="96"/>
      <c r="N20" s="97"/>
    </row>
    <row r="21" spans="1:14" s="14" customFormat="1" ht="13.95" customHeight="1" x14ac:dyDescent="0.3">
      <c r="A21" s="108"/>
      <c r="B21" s="109"/>
      <c r="C21" s="96"/>
      <c r="D21" s="97"/>
      <c r="E21" s="96"/>
      <c r="F21" s="97"/>
      <c r="G21" s="96"/>
      <c r="H21" s="97"/>
      <c r="I21" s="96"/>
      <c r="J21" s="97"/>
      <c r="K21" s="96"/>
      <c r="L21" s="97"/>
      <c r="M21" s="96"/>
      <c r="N21" s="97"/>
    </row>
    <row r="22" spans="1:14" s="15" customFormat="1" ht="13.95" customHeight="1" x14ac:dyDescent="0.3">
      <c r="A22" s="98"/>
      <c r="B22" s="99"/>
      <c r="C22" s="100"/>
      <c r="D22" s="101"/>
      <c r="E22" s="100"/>
      <c r="F22" s="101"/>
      <c r="G22" s="100"/>
      <c r="H22" s="101"/>
      <c r="I22" s="100"/>
      <c r="J22" s="101"/>
      <c r="K22" s="100"/>
      <c r="L22" s="101"/>
      <c r="M22" s="100"/>
      <c r="N22" s="101"/>
    </row>
    <row r="23" spans="1:14" s="22" customFormat="1" ht="19.8" x14ac:dyDescent="0.3">
      <c r="A23" s="102"/>
      <c r="B23" s="103"/>
      <c r="C23" s="104"/>
      <c r="D23" s="105"/>
      <c r="E23" s="104"/>
      <c r="F23" s="105"/>
      <c r="G23" s="104"/>
      <c r="H23" s="105"/>
      <c r="I23" s="104"/>
      <c r="J23" s="105"/>
      <c r="K23" s="104"/>
      <c r="L23" s="105"/>
      <c r="M23" s="104"/>
      <c r="N23" s="105"/>
    </row>
    <row r="24" spans="1:14" s="14" customFormat="1" ht="13.95" customHeight="1" x14ac:dyDescent="0.3">
      <c r="A24" s="94"/>
      <c r="B24" s="95"/>
      <c r="C24" s="96"/>
      <c r="D24" s="97"/>
      <c r="E24" s="96"/>
      <c r="F24" s="97"/>
      <c r="G24" s="96"/>
      <c r="H24" s="97"/>
      <c r="I24" s="96"/>
      <c r="J24" s="97"/>
      <c r="K24" s="96"/>
      <c r="L24" s="97"/>
      <c r="M24" s="96"/>
      <c r="N24" s="97"/>
    </row>
    <row r="25" spans="1:14" s="14" customFormat="1" ht="13.95" customHeight="1" x14ac:dyDescent="0.3">
      <c r="A25" s="94"/>
      <c r="B25" s="95"/>
      <c r="C25" s="96"/>
      <c r="D25" s="97"/>
      <c r="E25" s="96"/>
      <c r="F25" s="97"/>
      <c r="G25" s="96"/>
      <c r="H25" s="97"/>
      <c r="I25" s="96"/>
      <c r="J25" s="97"/>
      <c r="K25" s="96"/>
      <c r="L25" s="97"/>
      <c r="M25" s="96"/>
      <c r="N25" s="97"/>
    </row>
    <row r="26" spans="1:14" s="14" customFormat="1" ht="13.95" customHeight="1" x14ac:dyDescent="0.3">
      <c r="A26" s="108"/>
      <c r="B26" s="109"/>
      <c r="C26" s="96"/>
      <c r="D26" s="97"/>
      <c r="E26" s="96"/>
      <c r="F26" s="97"/>
      <c r="G26" s="96"/>
      <c r="H26" s="97"/>
      <c r="I26" s="96"/>
      <c r="J26" s="97"/>
      <c r="K26" s="96"/>
      <c r="L26" s="97"/>
      <c r="M26" s="96"/>
      <c r="N26" s="97"/>
    </row>
    <row r="27" spans="1:14" s="15" customFormat="1" ht="13.95" customHeight="1" x14ac:dyDescent="0.3">
      <c r="A27" s="98"/>
      <c r="B27" s="99"/>
      <c r="C27" s="100"/>
      <c r="D27" s="101"/>
      <c r="E27" s="100"/>
      <c r="F27" s="101"/>
      <c r="G27" s="100"/>
      <c r="H27" s="101"/>
      <c r="I27" s="100"/>
      <c r="J27" s="101"/>
      <c r="K27" s="100"/>
      <c r="L27" s="101"/>
      <c r="M27" s="100"/>
      <c r="N27" s="101"/>
    </row>
    <row r="28" spans="1:14" s="22" customFormat="1" ht="19.8" x14ac:dyDescent="0.3">
      <c r="A28" s="102"/>
      <c r="B28" s="103"/>
      <c r="C28" s="104"/>
      <c r="D28" s="105"/>
      <c r="E28" s="104"/>
      <c r="F28" s="105"/>
      <c r="G28" s="104"/>
      <c r="H28" s="105"/>
      <c r="I28" s="104"/>
      <c r="J28" s="105"/>
      <c r="K28" s="104"/>
      <c r="L28" s="105"/>
      <c r="M28" s="104"/>
      <c r="N28" s="105"/>
    </row>
    <row r="29" spans="1:14" s="14" customFormat="1" ht="13.95" customHeight="1" x14ac:dyDescent="0.3">
      <c r="A29" s="94"/>
      <c r="B29" s="95"/>
      <c r="C29" s="96"/>
      <c r="D29" s="97"/>
      <c r="E29" s="96"/>
      <c r="F29" s="97"/>
      <c r="G29" s="96"/>
      <c r="H29" s="97"/>
      <c r="I29" s="96"/>
      <c r="J29" s="97"/>
      <c r="K29" s="96"/>
      <c r="L29" s="97"/>
      <c r="M29" s="96"/>
      <c r="N29" s="97"/>
    </row>
    <row r="30" spans="1:14" s="14" customFormat="1" ht="13.95" customHeight="1" x14ac:dyDescent="0.3">
      <c r="A30" s="94"/>
      <c r="B30" s="95"/>
      <c r="C30" s="96"/>
      <c r="D30" s="97"/>
      <c r="E30" s="96"/>
      <c r="F30" s="97"/>
      <c r="G30" s="96"/>
      <c r="H30" s="97"/>
      <c r="I30" s="96"/>
      <c r="J30" s="97"/>
      <c r="K30" s="96"/>
      <c r="L30" s="97"/>
      <c r="M30" s="96"/>
      <c r="N30" s="97"/>
    </row>
    <row r="31" spans="1:14" s="14" customFormat="1" ht="13.95" customHeight="1" x14ac:dyDescent="0.3">
      <c r="A31" s="108"/>
      <c r="B31" s="109"/>
      <c r="C31" s="96"/>
      <c r="D31" s="97"/>
      <c r="E31" s="96"/>
      <c r="F31" s="97"/>
      <c r="G31" s="96"/>
      <c r="H31" s="97"/>
      <c r="I31" s="96"/>
      <c r="J31" s="97"/>
      <c r="K31" s="96"/>
      <c r="L31" s="97"/>
      <c r="M31" s="96"/>
      <c r="N31" s="97"/>
    </row>
    <row r="32" spans="1:14" s="15" customFormat="1" ht="13.95" customHeight="1" x14ac:dyDescent="0.3">
      <c r="A32" s="108"/>
      <c r="B32" s="109"/>
      <c r="C32" s="110"/>
      <c r="D32" s="111"/>
      <c r="E32" s="100"/>
      <c r="F32" s="101"/>
      <c r="G32" s="100"/>
      <c r="H32" s="101"/>
      <c r="I32" s="100"/>
      <c r="J32" s="101"/>
      <c r="K32" s="100"/>
      <c r="L32" s="101"/>
      <c r="M32" s="100"/>
      <c r="N32" s="101"/>
    </row>
    <row r="33" spans="1:14" s="18" customFormat="1" ht="19.8" x14ac:dyDescent="0.4">
      <c r="A33" s="102"/>
      <c r="B33" s="103"/>
      <c r="C33" s="104"/>
      <c r="D33" s="105"/>
      <c r="E33" s="36"/>
      <c r="F33" s="27"/>
      <c r="G33" s="27"/>
      <c r="H33" s="27"/>
      <c r="I33" s="27"/>
      <c r="J33" s="28"/>
      <c r="K33" s="27"/>
      <c r="L33" s="28"/>
      <c r="M33" s="27"/>
      <c r="N33" s="29"/>
    </row>
    <row r="34" spans="1:14" ht="13.95" customHeight="1" x14ac:dyDescent="0.25">
      <c r="A34" s="94"/>
      <c r="B34" s="95"/>
      <c r="C34" s="96"/>
      <c r="D34" s="97"/>
      <c r="E34" s="30"/>
      <c r="F34" s="30"/>
      <c r="G34" s="30"/>
      <c r="H34" s="30"/>
      <c r="I34" s="30"/>
      <c r="J34" s="30"/>
      <c r="K34" s="31"/>
      <c r="L34" s="30"/>
      <c r="M34" s="31"/>
      <c r="N34" s="32"/>
    </row>
    <row r="35" spans="1:14" ht="13.95" customHeight="1" x14ac:dyDescent="0.25">
      <c r="A35" s="94"/>
      <c r="B35" s="95"/>
      <c r="C35" s="96"/>
      <c r="D35" s="97"/>
      <c r="E35" s="30"/>
      <c r="F35" s="30"/>
      <c r="G35" s="30"/>
      <c r="H35" s="30"/>
      <c r="I35" s="30"/>
      <c r="J35" s="30"/>
      <c r="K35" s="31"/>
      <c r="L35" s="30"/>
      <c r="M35" s="31"/>
      <c r="N35" s="32"/>
    </row>
    <row r="36" spans="1:14" ht="13.95" customHeight="1" x14ac:dyDescent="0.25">
      <c r="A36" s="108"/>
      <c r="B36" s="109"/>
      <c r="C36" s="96"/>
      <c r="D36" s="97"/>
      <c r="E36" s="30"/>
      <c r="F36" s="30"/>
      <c r="G36" s="30"/>
      <c r="H36" s="30"/>
      <c r="I36" s="30"/>
      <c r="J36" s="30"/>
      <c r="K36" s="31"/>
      <c r="L36" s="30"/>
      <c r="M36" s="31"/>
      <c r="N36" s="32"/>
    </row>
    <row r="37" spans="1:14" s="14" customFormat="1" ht="13.95" customHeight="1" x14ac:dyDescent="0.3">
      <c r="A37" s="98"/>
      <c r="B37" s="99"/>
      <c r="C37" s="100"/>
      <c r="D37" s="101"/>
      <c r="E37" s="33"/>
      <c r="F37" s="33"/>
      <c r="G37" s="33"/>
      <c r="H37" s="33"/>
      <c r="I37" s="33"/>
      <c r="J37" s="33"/>
      <c r="K37" s="34"/>
      <c r="L37" s="33"/>
      <c r="M37" s="34"/>
      <c r="N37" s="35"/>
    </row>
  </sheetData>
  <mergeCells count="194">
    <mergeCell ref="K23:L23"/>
    <mergeCell ref="M13:N13"/>
    <mergeCell ref="E14:F14"/>
    <mergeCell ref="A19:B19"/>
    <mergeCell ref="G14:H14"/>
    <mergeCell ref="I14:J14"/>
    <mergeCell ref="M12:N12"/>
    <mergeCell ref="M17:N17"/>
    <mergeCell ref="I16:J16"/>
    <mergeCell ref="K16:L16"/>
    <mergeCell ref="M16:N16"/>
    <mergeCell ref="A15:B15"/>
    <mergeCell ref="C15:D15"/>
    <mergeCell ref="A13:B13"/>
    <mergeCell ref="C17:D17"/>
    <mergeCell ref="E17:F17"/>
    <mergeCell ref="G17:H17"/>
    <mergeCell ref="I17:J17"/>
    <mergeCell ref="E15:F15"/>
    <mergeCell ref="G15:H15"/>
    <mergeCell ref="A17:B17"/>
    <mergeCell ref="M18:N18"/>
    <mergeCell ref="I11:J11"/>
    <mergeCell ref="K11:L11"/>
    <mergeCell ref="M11:N11"/>
    <mergeCell ref="M7:N7"/>
    <mergeCell ref="A8:B8"/>
    <mergeCell ref="C8:D8"/>
    <mergeCell ref="E8:F8"/>
    <mergeCell ref="G8:H8"/>
    <mergeCell ref="I8:J8"/>
    <mergeCell ref="K8:L8"/>
    <mergeCell ref="M8:N8"/>
    <mergeCell ref="A7:B7"/>
    <mergeCell ref="C7:D7"/>
    <mergeCell ref="M9:N9"/>
    <mergeCell ref="K10:L10"/>
    <mergeCell ref="M15:N15"/>
    <mergeCell ref="M10:N10"/>
    <mergeCell ref="A9:B9"/>
    <mergeCell ref="C9:D9"/>
    <mergeCell ref="E9:F9"/>
    <mergeCell ref="G9:H9"/>
    <mergeCell ref="I9:J9"/>
    <mergeCell ref="K9:L9"/>
    <mergeCell ref="C14:D14"/>
    <mergeCell ref="K14:L14"/>
    <mergeCell ref="I15:J15"/>
    <mergeCell ref="K15:L15"/>
    <mergeCell ref="C13:D13"/>
    <mergeCell ref="E13:F13"/>
    <mergeCell ref="G13:H13"/>
    <mergeCell ref="I13:J13"/>
    <mergeCell ref="K13:L13"/>
    <mergeCell ref="A14:B14"/>
    <mergeCell ref="M14:N14"/>
    <mergeCell ref="E10:F10"/>
    <mergeCell ref="A18:B18"/>
    <mergeCell ref="C18:D18"/>
    <mergeCell ref="E18:F18"/>
    <mergeCell ref="G18:H18"/>
    <mergeCell ref="I18:J18"/>
    <mergeCell ref="K18:L18"/>
    <mergeCell ref="A16:B16"/>
    <mergeCell ref="C16:D16"/>
    <mergeCell ref="E16:F16"/>
    <mergeCell ref="G16:H16"/>
    <mergeCell ref="K17:L17"/>
    <mergeCell ref="A1:H3"/>
    <mergeCell ref="A4:H6"/>
    <mergeCell ref="E7:F7"/>
    <mergeCell ref="G7:H7"/>
    <mergeCell ref="I7:J7"/>
    <mergeCell ref="A12:B12"/>
    <mergeCell ref="C12:D12"/>
    <mergeCell ref="E12:F12"/>
    <mergeCell ref="G12:H12"/>
    <mergeCell ref="I12:J12"/>
    <mergeCell ref="A11:B11"/>
    <mergeCell ref="C11:D11"/>
    <mergeCell ref="E11:F11"/>
    <mergeCell ref="G11:H11"/>
    <mergeCell ref="A10:B10"/>
    <mergeCell ref="C10:D10"/>
    <mergeCell ref="K7:L7"/>
    <mergeCell ref="G10:H10"/>
    <mergeCell ref="I10:J10"/>
    <mergeCell ref="K12:L12"/>
    <mergeCell ref="A21:B21"/>
    <mergeCell ref="K21:L21"/>
    <mergeCell ref="K20:L20"/>
    <mergeCell ref="C20:D20"/>
    <mergeCell ref="E20:F20"/>
    <mergeCell ref="G20:H20"/>
    <mergeCell ref="C21:D21"/>
    <mergeCell ref="E21:F21"/>
    <mergeCell ref="M20:N20"/>
    <mergeCell ref="M25:N25"/>
    <mergeCell ref="C19:D19"/>
    <mergeCell ref="E19:F19"/>
    <mergeCell ref="G19:H19"/>
    <mergeCell ref="I19:J19"/>
    <mergeCell ref="K19:L19"/>
    <mergeCell ref="M21:N21"/>
    <mergeCell ref="C22:D22"/>
    <mergeCell ref="C25:D25"/>
    <mergeCell ref="E25:F25"/>
    <mergeCell ref="M23:N23"/>
    <mergeCell ref="A24:B24"/>
    <mergeCell ref="C24:D24"/>
    <mergeCell ref="E24:F24"/>
    <mergeCell ref="G24:H24"/>
    <mergeCell ref="I24:J24"/>
    <mergeCell ref="K24:L24"/>
    <mergeCell ref="M24:N24"/>
    <mergeCell ref="A23:B23"/>
    <mergeCell ref="C23:D23"/>
    <mergeCell ref="E23:F23"/>
    <mergeCell ref="G23:H23"/>
    <mergeCell ref="I23:J23"/>
    <mergeCell ref="A25:B25"/>
    <mergeCell ref="A20:B20"/>
    <mergeCell ref="I20:J20"/>
    <mergeCell ref="G25:H25"/>
    <mergeCell ref="I25:J25"/>
    <mergeCell ref="K25:L25"/>
    <mergeCell ref="M19:N19"/>
    <mergeCell ref="M26:N26"/>
    <mergeCell ref="A36:B36"/>
    <mergeCell ref="C36:D36"/>
    <mergeCell ref="A30:B30"/>
    <mergeCell ref="C30:D30"/>
    <mergeCell ref="E30:F30"/>
    <mergeCell ref="G30:H30"/>
    <mergeCell ref="I30:J30"/>
    <mergeCell ref="K30:L30"/>
    <mergeCell ref="M30:N30"/>
    <mergeCell ref="A29:B29"/>
    <mergeCell ref="C29:D29"/>
    <mergeCell ref="E29:F29"/>
    <mergeCell ref="G29:H29"/>
    <mergeCell ref="I29:J29"/>
    <mergeCell ref="K29:L29"/>
    <mergeCell ref="A26:B26"/>
    <mergeCell ref="A22:B22"/>
    <mergeCell ref="G21:H21"/>
    <mergeCell ref="I21:J21"/>
    <mergeCell ref="E22:F22"/>
    <mergeCell ref="G22:H22"/>
    <mergeCell ref="I22:J22"/>
    <mergeCell ref="K22:L22"/>
    <mergeCell ref="M22:N22"/>
    <mergeCell ref="C26:D26"/>
    <mergeCell ref="E26:F26"/>
    <mergeCell ref="G26:H26"/>
    <mergeCell ref="I26:J26"/>
    <mergeCell ref="K26:L26"/>
    <mergeCell ref="M29:N29"/>
    <mergeCell ref="M27:N27"/>
    <mergeCell ref="A28:B28"/>
    <mergeCell ref="C28:D28"/>
    <mergeCell ref="E28:F28"/>
    <mergeCell ref="G28:H28"/>
    <mergeCell ref="I28:J28"/>
    <mergeCell ref="K28:L28"/>
    <mergeCell ref="M28:N28"/>
    <mergeCell ref="A27:B27"/>
    <mergeCell ref="C27:D27"/>
    <mergeCell ref="E27:F27"/>
    <mergeCell ref="G27:H27"/>
    <mergeCell ref="I27:J27"/>
    <mergeCell ref="K27:L27"/>
    <mergeCell ref="A37:B37"/>
    <mergeCell ref="C37:D37"/>
    <mergeCell ref="A33:B33"/>
    <mergeCell ref="C33:D33"/>
    <mergeCell ref="A34:B34"/>
    <mergeCell ref="C34:D34"/>
    <mergeCell ref="A35:B35"/>
    <mergeCell ref="C35:D35"/>
    <mergeCell ref="M31:N31"/>
    <mergeCell ref="A32:B32"/>
    <mergeCell ref="C32:D32"/>
    <mergeCell ref="E32:F32"/>
    <mergeCell ref="G32:H32"/>
    <mergeCell ref="I32:J32"/>
    <mergeCell ref="K32:L32"/>
    <mergeCell ref="M32:N32"/>
    <mergeCell ref="A31:B31"/>
    <mergeCell ref="C31:D31"/>
    <mergeCell ref="E31:F31"/>
    <mergeCell ref="G31:H31"/>
    <mergeCell ref="I31:J31"/>
    <mergeCell ref="K31:L31"/>
  </mergeCells>
  <phoneticPr fontId="23" type="noConversion"/>
  <printOptions horizontalCentered="1"/>
  <pageMargins left="0.25" right="0.25" top="0.25" bottom="0.25" header="0" footer="0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FE530-B780-4A2D-B381-0CFAAABFB370}">
  <sheetPr codeName="Sheet6"/>
  <dimension ref="A1:G81"/>
  <sheetViews>
    <sheetView showGridLines="0" workbookViewId="0">
      <pane ySplit="1" topLeftCell="A2" activePane="bottomLeft" state="frozen"/>
      <selection pane="bottomLeft" activeCell="E35" sqref="E35"/>
    </sheetView>
  </sheetViews>
  <sheetFormatPr defaultColWidth="12.44140625" defaultRowHeight="14.4" x14ac:dyDescent="0.3"/>
  <sheetData>
    <row r="1" spans="1:7" x14ac:dyDescent="0.3">
      <c r="A1" s="67" t="s">
        <v>21</v>
      </c>
      <c r="B1" s="67" t="s">
        <v>22</v>
      </c>
      <c r="C1" s="67" t="s">
        <v>23</v>
      </c>
      <c r="D1" s="67" t="s">
        <v>24</v>
      </c>
      <c r="E1" s="67" t="s">
        <v>60</v>
      </c>
      <c r="F1" s="67" t="s">
        <v>61</v>
      </c>
      <c r="G1" s="67" t="s">
        <v>62</v>
      </c>
    </row>
    <row r="2" spans="1:7" x14ac:dyDescent="0.3">
      <c r="A2" s="73" t="s">
        <v>119</v>
      </c>
      <c r="B2" s="73" t="s">
        <v>120</v>
      </c>
      <c r="C2" s="73">
        <v>0</v>
      </c>
      <c r="D2" s="73" t="s">
        <v>121</v>
      </c>
      <c r="E2" s="73">
        <v>5</v>
      </c>
      <c r="F2" s="73">
        <v>0</v>
      </c>
      <c r="G2" s="73">
        <v>0</v>
      </c>
    </row>
    <row r="3" spans="1:7" x14ac:dyDescent="0.3">
      <c r="A3" s="75" t="s">
        <v>122</v>
      </c>
      <c r="B3" s="75" t="s">
        <v>123</v>
      </c>
      <c r="C3" s="75">
        <v>0</v>
      </c>
      <c r="D3" s="75" t="s">
        <v>121</v>
      </c>
      <c r="E3" s="75">
        <v>5</v>
      </c>
      <c r="F3" s="75">
        <v>0</v>
      </c>
      <c r="G3" s="75">
        <v>0</v>
      </c>
    </row>
    <row r="4" spans="1:7" x14ac:dyDescent="0.3">
      <c r="A4" s="75" t="s">
        <v>124</v>
      </c>
      <c r="B4" s="75" t="s">
        <v>125</v>
      </c>
      <c r="C4" s="75">
        <v>0</v>
      </c>
      <c r="D4" s="75" t="s">
        <v>121</v>
      </c>
      <c r="E4" s="75">
        <v>5</v>
      </c>
      <c r="F4" s="75">
        <v>0</v>
      </c>
      <c r="G4" s="75">
        <v>0</v>
      </c>
    </row>
    <row r="5" spans="1:7" x14ac:dyDescent="0.3">
      <c r="A5" s="75" t="s">
        <v>178</v>
      </c>
      <c r="B5" s="75" t="s">
        <v>179</v>
      </c>
      <c r="C5" s="75">
        <v>0</v>
      </c>
      <c r="D5" s="75" t="s">
        <v>180</v>
      </c>
      <c r="E5" s="75">
        <v>5</v>
      </c>
      <c r="F5" s="75">
        <v>0</v>
      </c>
      <c r="G5" s="75">
        <v>0</v>
      </c>
    </row>
    <row r="6" spans="1:7" x14ac:dyDescent="0.3">
      <c r="A6" s="75" t="s">
        <v>217</v>
      </c>
      <c r="B6" s="75" t="s">
        <v>218</v>
      </c>
      <c r="C6" s="75">
        <v>0</v>
      </c>
      <c r="D6" s="75" t="s">
        <v>219</v>
      </c>
      <c r="E6" s="75">
        <v>5</v>
      </c>
      <c r="F6" s="75">
        <v>0</v>
      </c>
      <c r="G6" s="75">
        <v>0</v>
      </c>
    </row>
    <row r="7" spans="1:7" x14ac:dyDescent="0.3">
      <c r="A7" s="75" t="s">
        <v>98</v>
      </c>
      <c r="B7" s="75" t="s">
        <v>99</v>
      </c>
      <c r="C7" s="75">
        <v>1</v>
      </c>
      <c r="D7" s="75" t="s">
        <v>100</v>
      </c>
      <c r="E7" s="75">
        <v>5</v>
      </c>
      <c r="F7" s="75">
        <v>0</v>
      </c>
      <c r="G7" s="75">
        <v>0</v>
      </c>
    </row>
    <row r="8" spans="1:7" x14ac:dyDescent="0.3">
      <c r="A8" s="75" t="s">
        <v>101</v>
      </c>
      <c r="B8" s="75" t="s">
        <v>102</v>
      </c>
      <c r="C8" s="75">
        <v>1</v>
      </c>
      <c r="D8" s="75" t="s">
        <v>100</v>
      </c>
      <c r="E8" s="75">
        <v>5</v>
      </c>
      <c r="F8" s="75">
        <v>0</v>
      </c>
      <c r="G8" s="75">
        <v>0</v>
      </c>
    </row>
    <row r="9" spans="1:7" x14ac:dyDescent="0.3">
      <c r="A9" s="75" t="s">
        <v>103</v>
      </c>
      <c r="B9" s="75" t="s">
        <v>104</v>
      </c>
      <c r="C9" s="75">
        <v>1</v>
      </c>
      <c r="D9" s="75" t="s">
        <v>100</v>
      </c>
      <c r="E9" s="75">
        <v>5</v>
      </c>
      <c r="F9" s="75">
        <v>0</v>
      </c>
      <c r="G9" s="75">
        <v>0</v>
      </c>
    </row>
    <row r="10" spans="1:7" x14ac:dyDescent="0.3">
      <c r="A10" s="75" t="s">
        <v>126</v>
      </c>
      <c r="B10" s="75" t="s">
        <v>127</v>
      </c>
      <c r="C10" s="75">
        <v>1</v>
      </c>
      <c r="D10" s="75" t="s">
        <v>121</v>
      </c>
      <c r="E10" s="75">
        <v>5</v>
      </c>
      <c r="F10" s="75">
        <v>0</v>
      </c>
      <c r="G10" s="75">
        <v>0</v>
      </c>
    </row>
    <row r="11" spans="1:7" x14ac:dyDescent="0.3">
      <c r="A11" s="75" t="s">
        <v>139</v>
      </c>
      <c r="B11" s="75" t="s">
        <v>140</v>
      </c>
      <c r="C11" s="75">
        <v>1</v>
      </c>
      <c r="D11" s="75" t="s">
        <v>141</v>
      </c>
      <c r="E11" s="75">
        <v>5</v>
      </c>
      <c r="F11" s="75">
        <v>0</v>
      </c>
      <c r="G11" s="75">
        <v>0</v>
      </c>
    </row>
    <row r="12" spans="1:7" x14ac:dyDescent="0.3">
      <c r="A12" s="75" t="s">
        <v>142</v>
      </c>
      <c r="B12" s="75" t="s">
        <v>143</v>
      </c>
      <c r="C12" s="75">
        <v>1</v>
      </c>
      <c r="D12" s="75" t="s">
        <v>141</v>
      </c>
      <c r="E12" s="75">
        <v>5</v>
      </c>
      <c r="F12" s="75">
        <v>0</v>
      </c>
      <c r="G12" s="75">
        <v>0</v>
      </c>
    </row>
    <row r="13" spans="1:7" x14ac:dyDescent="0.3">
      <c r="A13" s="75" t="s">
        <v>144</v>
      </c>
      <c r="B13" s="75" t="s">
        <v>145</v>
      </c>
      <c r="C13" s="75">
        <v>1</v>
      </c>
      <c r="D13" s="75" t="s">
        <v>141</v>
      </c>
      <c r="E13" s="75">
        <v>5</v>
      </c>
      <c r="F13" s="75">
        <v>0</v>
      </c>
      <c r="G13" s="75">
        <v>0</v>
      </c>
    </row>
    <row r="14" spans="1:7" x14ac:dyDescent="0.3">
      <c r="A14" s="75" t="s">
        <v>146</v>
      </c>
      <c r="B14" s="75" t="s">
        <v>147</v>
      </c>
      <c r="C14" s="75">
        <v>1</v>
      </c>
      <c r="D14" s="75" t="s">
        <v>141</v>
      </c>
      <c r="E14" s="75">
        <v>5</v>
      </c>
      <c r="F14" s="75">
        <v>0</v>
      </c>
      <c r="G14" s="75">
        <v>0</v>
      </c>
    </row>
    <row r="15" spans="1:7" x14ac:dyDescent="0.3">
      <c r="A15" s="75" t="s">
        <v>148</v>
      </c>
      <c r="B15" s="75" t="s">
        <v>149</v>
      </c>
      <c r="C15" s="75">
        <v>1</v>
      </c>
      <c r="D15" s="75" t="s">
        <v>141</v>
      </c>
      <c r="E15" s="75">
        <v>5</v>
      </c>
      <c r="F15" s="75">
        <v>0</v>
      </c>
      <c r="G15" s="75">
        <v>0</v>
      </c>
    </row>
    <row r="16" spans="1:7" x14ac:dyDescent="0.3">
      <c r="A16" s="75" t="s">
        <v>138</v>
      </c>
      <c r="B16" s="75" t="s">
        <v>150</v>
      </c>
      <c r="C16" s="75">
        <v>1</v>
      </c>
      <c r="D16" s="75" t="s">
        <v>141</v>
      </c>
      <c r="E16" s="75">
        <v>5</v>
      </c>
      <c r="F16" s="75">
        <v>0</v>
      </c>
      <c r="G16" s="75">
        <v>0</v>
      </c>
    </row>
    <row r="17" spans="1:7" x14ac:dyDescent="0.3">
      <c r="A17" s="75" t="s">
        <v>159</v>
      </c>
      <c r="B17" s="75" t="s">
        <v>160</v>
      </c>
      <c r="C17" s="75">
        <v>1</v>
      </c>
      <c r="D17" s="75" t="s">
        <v>161</v>
      </c>
      <c r="E17" s="75">
        <v>5</v>
      </c>
      <c r="F17" s="75">
        <v>0</v>
      </c>
      <c r="G17" s="75">
        <v>0</v>
      </c>
    </row>
    <row r="18" spans="1:7" x14ac:dyDescent="0.3">
      <c r="A18" s="75" t="s">
        <v>162</v>
      </c>
      <c r="B18" s="75" t="s">
        <v>135</v>
      </c>
      <c r="C18" s="75">
        <v>1</v>
      </c>
      <c r="D18" s="75" t="s">
        <v>161</v>
      </c>
      <c r="E18" s="75">
        <v>5</v>
      </c>
      <c r="F18" s="75">
        <v>0</v>
      </c>
      <c r="G18" s="75">
        <v>0</v>
      </c>
    </row>
    <row r="19" spans="1:7" x14ac:dyDescent="0.3">
      <c r="A19" s="75" t="s">
        <v>181</v>
      </c>
      <c r="B19" s="75" t="s">
        <v>182</v>
      </c>
      <c r="C19" s="75">
        <v>1</v>
      </c>
      <c r="D19" s="75" t="s">
        <v>180</v>
      </c>
      <c r="E19" s="75">
        <v>5</v>
      </c>
      <c r="F19" s="75">
        <v>0</v>
      </c>
      <c r="G19" s="75">
        <v>0</v>
      </c>
    </row>
    <row r="20" spans="1:7" x14ac:dyDescent="0.3">
      <c r="A20" s="75" t="s">
        <v>199</v>
      </c>
      <c r="B20" s="75" t="s">
        <v>200</v>
      </c>
      <c r="C20" s="75">
        <v>1</v>
      </c>
      <c r="D20" s="75" t="s">
        <v>201</v>
      </c>
      <c r="E20" s="75">
        <v>5</v>
      </c>
      <c r="F20" s="75">
        <v>0</v>
      </c>
      <c r="G20" s="75">
        <v>0</v>
      </c>
    </row>
    <row r="21" spans="1:7" x14ac:dyDescent="0.3">
      <c r="A21" s="75" t="s">
        <v>202</v>
      </c>
      <c r="B21" s="75" t="s">
        <v>203</v>
      </c>
      <c r="C21" s="75">
        <v>1</v>
      </c>
      <c r="D21" s="75" t="s">
        <v>201</v>
      </c>
      <c r="E21" s="75">
        <v>5</v>
      </c>
      <c r="F21" s="75">
        <v>0</v>
      </c>
      <c r="G21" s="75">
        <v>0</v>
      </c>
    </row>
    <row r="22" spans="1:7" x14ac:dyDescent="0.3">
      <c r="A22" s="75" t="s">
        <v>204</v>
      </c>
      <c r="B22" s="75" t="s">
        <v>133</v>
      </c>
      <c r="C22" s="75">
        <v>1</v>
      </c>
      <c r="D22" s="75" t="s">
        <v>201</v>
      </c>
      <c r="E22" s="75">
        <v>5</v>
      </c>
      <c r="F22" s="75">
        <v>0</v>
      </c>
      <c r="G22" s="75">
        <v>0</v>
      </c>
    </row>
    <row r="23" spans="1:7" x14ac:dyDescent="0.3">
      <c r="A23" s="75" t="s">
        <v>220</v>
      </c>
      <c r="B23" s="75" t="s">
        <v>221</v>
      </c>
      <c r="C23" s="75">
        <v>1</v>
      </c>
      <c r="D23" s="75" t="s">
        <v>219</v>
      </c>
      <c r="E23" s="75">
        <v>5</v>
      </c>
      <c r="F23" s="75">
        <v>0</v>
      </c>
      <c r="G23" s="75">
        <v>0</v>
      </c>
    </row>
    <row r="24" spans="1:7" x14ac:dyDescent="0.3">
      <c r="A24" s="75" t="s">
        <v>222</v>
      </c>
      <c r="B24" s="75" t="s">
        <v>223</v>
      </c>
      <c r="C24" s="75">
        <v>1</v>
      </c>
      <c r="D24" s="75" t="s">
        <v>219</v>
      </c>
      <c r="E24" s="75">
        <v>5</v>
      </c>
      <c r="F24" s="75">
        <v>0</v>
      </c>
      <c r="G24" s="75">
        <v>0</v>
      </c>
    </row>
    <row r="25" spans="1:7" x14ac:dyDescent="0.3">
      <c r="A25" s="75" t="s">
        <v>224</v>
      </c>
      <c r="B25" s="75" t="s">
        <v>102</v>
      </c>
      <c r="C25" s="75">
        <v>1</v>
      </c>
      <c r="D25" s="75" t="s">
        <v>219</v>
      </c>
      <c r="E25" s="75">
        <v>5</v>
      </c>
      <c r="F25" s="75">
        <v>0</v>
      </c>
      <c r="G25" s="75">
        <v>0</v>
      </c>
    </row>
    <row r="26" spans="1:7" x14ac:dyDescent="0.3">
      <c r="A26" s="75" t="s">
        <v>225</v>
      </c>
      <c r="B26" s="75" t="s">
        <v>226</v>
      </c>
      <c r="C26" s="75">
        <v>1</v>
      </c>
      <c r="D26" s="75" t="s">
        <v>219</v>
      </c>
      <c r="E26" s="75">
        <v>4</v>
      </c>
      <c r="F26" s="75">
        <v>0</v>
      </c>
      <c r="G26" s="75">
        <v>0</v>
      </c>
    </row>
    <row r="27" spans="1:7" x14ac:dyDescent="0.3">
      <c r="A27" s="75" t="s">
        <v>237</v>
      </c>
      <c r="B27" s="75" t="s">
        <v>238</v>
      </c>
      <c r="C27" s="75">
        <v>1</v>
      </c>
      <c r="D27" s="75" t="s">
        <v>239</v>
      </c>
      <c r="E27" s="75">
        <v>4</v>
      </c>
      <c r="F27" s="75">
        <v>0</v>
      </c>
      <c r="G27" s="75">
        <v>0</v>
      </c>
    </row>
    <row r="28" spans="1:7" x14ac:dyDescent="0.3">
      <c r="A28" s="75" t="s">
        <v>205</v>
      </c>
      <c r="B28" s="75" t="s">
        <v>240</v>
      </c>
      <c r="C28" s="75">
        <v>1</v>
      </c>
      <c r="D28" s="75" t="s">
        <v>239</v>
      </c>
      <c r="E28" s="75">
        <v>4</v>
      </c>
      <c r="F28" s="75">
        <v>0</v>
      </c>
      <c r="G28" s="75">
        <v>0</v>
      </c>
    </row>
    <row r="29" spans="1:7" x14ac:dyDescent="0.3">
      <c r="A29" s="75" t="s">
        <v>241</v>
      </c>
      <c r="B29" s="75" t="s">
        <v>242</v>
      </c>
      <c r="C29" s="75">
        <v>1</v>
      </c>
      <c r="D29" s="75" t="s">
        <v>239</v>
      </c>
      <c r="E29" s="75">
        <v>4</v>
      </c>
      <c r="F29" s="75">
        <v>0</v>
      </c>
      <c r="G29" s="75">
        <v>0</v>
      </c>
    </row>
    <row r="30" spans="1:7" x14ac:dyDescent="0.3">
      <c r="A30" s="75" t="s">
        <v>243</v>
      </c>
      <c r="B30" s="75" t="s">
        <v>236</v>
      </c>
      <c r="C30" s="75">
        <v>1</v>
      </c>
      <c r="D30" s="75" t="s">
        <v>239</v>
      </c>
      <c r="E30" s="75">
        <v>4</v>
      </c>
      <c r="F30" s="75">
        <v>0</v>
      </c>
      <c r="G30" s="75">
        <v>0</v>
      </c>
    </row>
    <row r="31" spans="1:7" x14ac:dyDescent="0.3">
      <c r="A31" s="75" t="s">
        <v>244</v>
      </c>
      <c r="B31" s="75" t="s">
        <v>223</v>
      </c>
      <c r="C31" s="75">
        <v>1</v>
      </c>
      <c r="D31" s="75" t="s">
        <v>239</v>
      </c>
      <c r="E31" s="75">
        <v>4</v>
      </c>
      <c r="F31" s="75">
        <v>0</v>
      </c>
      <c r="G31" s="75">
        <v>0</v>
      </c>
    </row>
    <row r="32" spans="1:7" x14ac:dyDescent="0.3">
      <c r="A32" s="75" t="s">
        <v>128</v>
      </c>
      <c r="B32" s="75" t="s">
        <v>129</v>
      </c>
      <c r="C32" s="75">
        <v>2</v>
      </c>
      <c r="D32" s="75" t="s">
        <v>121</v>
      </c>
      <c r="E32" s="75">
        <v>4</v>
      </c>
      <c r="F32" s="75">
        <v>0</v>
      </c>
      <c r="G32" s="75">
        <v>0</v>
      </c>
    </row>
    <row r="33" spans="1:7" x14ac:dyDescent="0.3">
      <c r="A33" s="75" t="s">
        <v>130</v>
      </c>
      <c r="B33" s="75" t="s">
        <v>131</v>
      </c>
      <c r="C33" s="75">
        <v>2</v>
      </c>
      <c r="D33" s="75" t="s">
        <v>121</v>
      </c>
      <c r="E33" s="75">
        <v>4</v>
      </c>
      <c r="F33" s="75">
        <v>0</v>
      </c>
      <c r="G33" s="75">
        <v>0</v>
      </c>
    </row>
    <row r="34" spans="1:7" x14ac:dyDescent="0.3">
      <c r="A34" s="75" t="s">
        <v>205</v>
      </c>
      <c r="B34" s="75" t="s">
        <v>206</v>
      </c>
      <c r="C34" s="75">
        <v>2</v>
      </c>
      <c r="D34" s="75" t="s">
        <v>201</v>
      </c>
      <c r="E34" s="75">
        <v>4</v>
      </c>
      <c r="F34" s="75">
        <v>0</v>
      </c>
      <c r="G34" s="75">
        <v>0</v>
      </c>
    </row>
    <row r="35" spans="1:7" x14ac:dyDescent="0.3">
      <c r="A35" s="75" t="s">
        <v>105</v>
      </c>
      <c r="B35" s="75" t="s">
        <v>106</v>
      </c>
      <c r="C35" s="75">
        <v>2</v>
      </c>
      <c r="D35" s="75" t="s">
        <v>100</v>
      </c>
      <c r="E35" s="75">
        <v>4</v>
      </c>
      <c r="F35" s="75">
        <v>0</v>
      </c>
      <c r="G35" s="75">
        <v>0</v>
      </c>
    </row>
    <row r="36" spans="1:7" x14ac:dyDescent="0.3">
      <c r="A36" s="75" t="s">
        <v>163</v>
      </c>
      <c r="B36" s="75" t="s">
        <v>164</v>
      </c>
      <c r="C36" s="75">
        <v>2</v>
      </c>
      <c r="D36" s="75" t="s">
        <v>161</v>
      </c>
      <c r="E36" s="75">
        <v>4</v>
      </c>
      <c r="F36" s="75">
        <v>0</v>
      </c>
      <c r="G36" s="75">
        <v>0</v>
      </c>
    </row>
    <row r="37" spans="1:7" x14ac:dyDescent="0.3">
      <c r="A37" s="75" t="s">
        <v>165</v>
      </c>
      <c r="B37" s="75" t="s">
        <v>166</v>
      </c>
      <c r="C37" s="75">
        <v>2</v>
      </c>
      <c r="D37" s="75" t="s">
        <v>161</v>
      </c>
      <c r="E37" s="75">
        <v>4</v>
      </c>
      <c r="F37" s="75">
        <v>0</v>
      </c>
      <c r="G37" s="75">
        <v>0</v>
      </c>
    </row>
    <row r="38" spans="1:7" x14ac:dyDescent="0.3">
      <c r="A38" s="75" t="s">
        <v>107</v>
      </c>
      <c r="B38" s="75" t="s">
        <v>108</v>
      </c>
      <c r="C38" s="75">
        <v>3</v>
      </c>
      <c r="D38" s="75" t="s">
        <v>100</v>
      </c>
      <c r="E38" s="75">
        <v>4</v>
      </c>
      <c r="F38" s="75">
        <v>0</v>
      </c>
      <c r="G38" s="75">
        <v>0</v>
      </c>
    </row>
    <row r="39" spans="1:7" x14ac:dyDescent="0.3">
      <c r="A39" s="75" t="s">
        <v>109</v>
      </c>
      <c r="B39" s="75" t="s">
        <v>110</v>
      </c>
      <c r="C39" s="75">
        <v>3</v>
      </c>
      <c r="D39" s="75" t="s">
        <v>100</v>
      </c>
      <c r="E39" s="75">
        <v>4</v>
      </c>
      <c r="F39" s="75">
        <v>0</v>
      </c>
      <c r="G39" s="75">
        <v>0</v>
      </c>
    </row>
    <row r="40" spans="1:7" x14ac:dyDescent="0.3">
      <c r="A40" s="75" t="s">
        <v>151</v>
      </c>
      <c r="B40" s="75" t="s">
        <v>152</v>
      </c>
      <c r="C40" s="75">
        <v>3</v>
      </c>
      <c r="D40" s="75" t="s">
        <v>141</v>
      </c>
      <c r="E40" s="75">
        <v>4</v>
      </c>
      <c r="F40" s="75">
        <v>0</v>
      </c>
      <c r="G40" s="75">
        <v>0</v>
      </c>
    </row>
    <row r="41" spans="1:7" x14ac:dyDescent="0.3">
      <c r="A41" s="75" t="s">
        <v>167</v>
      </c>
      <c r="B41" s="75" t="s">
        <v>168</v>
      </c>
      <c r="C41" s="75">
        <v>3</v>
      </c>
      <c r="D41" s="75" t="s">
        <v>161</v>
      </c>
      <c r="E41" s="75">
        <v>4</v>
      </c>
      <c r="F41" s="75">
        <v>0</v>
      </c>
      <c r="G41" s="75">
        <v>0</v>
      </c>
    </row>
    <row r="42" spans="1:7" x14ac:dyDescent="0.3">
      <c r="A42" s="75" t="s">
        <v>169</v>
      </c>
      <c r="B42" s="75" t="s">
        <v>170</v>
      </c>
      <c r="C42" s="75">
        <v>3</v>
      </c>
      <c r="D42" s="75" t="s">
        <v>161</v>
      </c>
      <c r="E42" s="75">
        <v>4</v>
      </c>
      <c r="F42" s="75">
        <v>0</v>
      </c>
      <c r="G42" s="75">
        <v>0</v>
      </c>
    </row>
    <row r="43" spans="1:7" x14ac:dyDescent="0.3">
      <c r="A43" s="75" t="s">
        <v>183</v>
      </c>
      <c r="B43" s="75" t="s">
        <v>184</v>
      </c>
      <c r="C43" s="75">
        <v>3</v>
      </c>
      <c r="D43" s="75" t="s">
        <v>180</v>
      </c>
      <c r="E43" s="75">
        <v>4</v>
      </c>
      <c r="F43" s="75">
        <v>0</v>
      </c>
      <c r="G43" s="75">
        <v>0</v>
      </c>
    </row>
    <row r="44" spans="1:7" x14ac:dyDescent="0.3">
      <c r="A44" s="75" t="s">
        <v>207</v>
      </c>
      <c r="B44" s="75" t="s">
        <v>208</v>
      </c>
      <c r="C44" s="75">
        <v>3</v>
      </c>
      <c r="D44" s="75" t="s">
        <v>201</v>
      </c>
      <c r="E44" s="75">
        <v>4</v>
      </c>
      <c r="F44" s="75">
        <v>0</v>
      </c>
      <c r="G44" s="75">
        <v>0</v>
      </c>
    </row>
    <row r="45" spans="1:7" x14ac:dyDescent="0.3">
      <c r="A45" s="75" t="s">
        <v>209</v>
      </c>
      <c r="B45" s="75" t="s">
        <v>210</v>
      </c>
      <c r="C45" s="75">
        <v>3</v>
      </c>
      <c r="D45" s="75" t="s">
        <v>201</v>
      </c>
      <c r="E45" s="75">
        <v>4</v>
      </c>
      <c r="F45" s="75">
        <v>0</v>
      </c>
      <c r="G45" s="75">
        <v>0</v>
      </c>
    </row>
    <row r="46" spans="1:7" x14ac:dyDescent="0.3">
      <c r="A46" s="75" t="s">
        <v>111</v>
      </c>
      <c r="B46" s="75" t="s">
        <v>112</v>
      </c>
      <c r="C46" s="75">
        <v>4</v>
      </c>
      <c r="D46" s="75" t="s">
        <v>100</v>
      </c>
      <c r="E46" s="75">
        <v>4</v>
      </c>
      <c r="F46" s="75">
        <v>0</v>
      </c>
      <c r="G46" s="75">
        <v>0</v>
      </c>
    </row>
    <row r="47" spans="1:7" x14ac:dyDescent="0.3">
      <c r="A47" s="75" t="s">
        <v>171</v>
      </c>
      <c r="B47" s="75" t="s">
        <v>172</v>
      </c>
      <c r="C47" s="75">
        <v>4</v>
      </c>
      <c r="D47" s="75" t="s">
        <v>161</v>
      </c>
      <c r="E47" s="75">
        <v>4</v>
      </c>
      <c r="F47" s="75">
        <v>0</v>
      </c>
      <c r="G47" s="75">
        <v>0</v>
      </c>
    </row>
    <row r="48" spans="1:7" x14ac:dyDescent="0.3">
      <c r="A48" s="75" t="s">
        <v>173</v>
      </c>
      <c r="B48" s="75" t="s">
        <v>114</v>
      </c>
      <c r="C48" s="75">
        <v>4</v>
      </c>
      <c r="D48" s="75" t="s">
        <v>161</v>
      </c>
      <c r="E48" s="75">
        <v>4</v>
      </c>
      <c r="F48" s="75">
        <v>0</v>
      </c>
      <c r="G48" s="75">
        <v>0</v>
      </c>
    </row>
    <row r="49" spans="1:7" x14ac:dyDescent="0.3">
      <c r="A49" s="75" t="s">
        <v>153</v>
      </c>
      <c r="B49" s="75" t="s">
        <v>154</v>
      </c>
      <c r="C49" s="75">
        <v>4</v>
      </c>
      <c r="D49" s="75" t="s">
        <v>141</v>
      </c>
      <c r="E49" s="75">
        <v>4</v>
      </c>
      <c r="F49" s="75">
        <v>0</v>
      </c>
      <c r="G49" s="75">
        <v>0</v>
      </c>
    </row>
    <row r="50" spans="1:7" x14ac:dyDescent="0.3">
      <c r="A50" s="75" t="s">
        <v>155</v>
      </c>
      <c r="B50" s="75" t="s">
        <v>156</v>
      </c>
      <c r="C50" s="75">
        <v>4</v>
      </c>
      <c r="D50" s="75" t="s">
        <v>141</v>
      </c>
      <c r="E50" s="75">
        <v>4</v>
      </c>
      <c r="F50" s="75">
        <v>0</v>
      </c>
      <c r="G50" s="75">
        <v>0</v>
      </c>
    </row>
    <row r="51" spans="1:7" x14ac:dyDescent="0.3">
      <c r="A51" s="75" t="s">
        <v>185</v>
      </c>
      <c r="B51" s="75" t="s">
        <v>186</v>
      </c>
      <c r="C51" s="75">
        <v>4</v>
      </c>
      <c r="D51" s="75" t="s">
        <v>180</v>
      </c>
      <c r="E51" s="75">
        <v>4</v>
      </c>
      <c r="F51" s="75">
        <v>0</v>
      </c>
      <c r="G51" s="75">
        <v>0</v>
      </c>
    </row>
    <row r="52" spans="1:7" x14ac:dyDescent="0.3">
      <c r="A52" s="75" t="s">
        <v>187</v>
      </c>
      <c r="B52" s="75" t="s">
        <v>188</v>
      </c>
      <c r="C52" s="75">
        <v>4</v>
      </c>
      <c r="D52" s="75" t="s">
        <v>180</v>
      </c>
      <c r="E52" s="75">
        <v>4</v>
      </c>
      <c r="F52" s="75">
        <v>0</v>
      </c>
      <c r="G52" s="75">
        <v>0</v>
      </c>
    </row>
    <row r="53" spans="1:7" x14ac:dyDescent="0.3">
      <c r="A53" s="75" t="s">
        <v>227</v>
      </c>
      <c r="B53" s="75" t="s">
        <v>228</v>
      </c>
      <c r="C53" s="75">
        <v>4</v>
      </c>
      <c r="D53" s="75" t="s">
        <v>219</v>
      </c>
      <c r="E53" s="75">
        <v>4</v>
      </c>
      <c r="F53" s="75">
        <v>0</v>
      </c>
      <c r="G53" s="75">
        <v>0</v>
      </c>
    </row>
    <row r="54" spans="1:7" x14ac:dyDescent="0.3">
      <c r="A54" s="75" t="s">
        <v>245</v>
      </c>
      <c r="B54" s="75" t="s">
        <v>246</v>
      </c>
      <c r="C54" s="75">
        <v>4</v>
      </c>
      <c r="D54" s="75" t="s">
        <v>239</v>
      </c>
      <c r="E54" s="75">
        <v>4</v>
      </c>
      <c r="F54" s="75">
        <v>0</v>
      </c>
      <c r="G54" s="75">
        <v>0</v>
      </c>
    </row>
    <row r="55" spans="1:7" x14ac:dyDescent="0.3">
      <c r="A55" s="75" t="s">
        <v>247</v>
      </c>
      <c r="B55" s="75" t="s">
        <v>248</v>
      </c>
      <c r="C55" s="75">
        <v>4</v>
      </c>
      <c r="D55" s="75" t="s">
        <v>239</v>
      </c>
      <c r="E55" s="75">
        <v>4</v>
      </c>
      <c r="F55" s="75">
        <v>0</v>
      </c>
      <c r="G55" s="75">
        <v>0</v>
      </c>
    </row>
    <row r="56" spans="1:7" x14ac:dyDescent="0.3">
      <c r="A56" s="75" t="s">
        <v>204</v>
      </c>
      <c r="B56" s="75" t="s">
        <v>249</v>
      </c>
      <c r="C56" s="75">
        <v>4</v>
      </c>
      <c r="D56" s="75" t="s">
        <v>239</v>
      </c>
      <c r="E56" s="75">
        <v>4</v>
      </c>
      <c r="F56" s="75">
        <v>0</v>
      </c>
      <c r="G56" s="75">
        <v>0</v>
      </c>
    </row>
    <row r="57" spans="1:7" x14ac:dyDescent="0.3">
      <c r="A57" s="75" t="s">
        <v>113</v>
      </c>
      <c r="B57" s="75" t="s">
        <v>114</v>
      </c>
      <c r="C57" s="75">
        <v>5</v>
      </c>
      <c r="D57" s="75" t="s">
        <v>100</v>
      </c>
      <c r="E57" s="75">
        <v>4</v>
      </c>
      <c r="F57" s="75">
        <v>0</v>
      </c>
      <c r="G57" s="75">
        <v>0</v>
      </c>
    </row>
    <row r="58" spans="1:7" x14ac:dyDescent="0.3">
      <c r="A58" s="75" t="s">
        <v>132</v>
      </c>
      <c r="B58" s="75" t="s">
        <v>133</v>
      </c>
      <c r="C58" s="75">
        <v>5</v>
      </c>
      <c r="D58" s="75" t="s">
        <v>121</v>
      </c>
      <c r="E58" s="75">
        <v>4</v>
      </c>
      <c r="F58" s="75">
        <v>0</v>
      </c>
      <c r="G58" s="75">
        <v>0</v>
      </c>
    </row>
    <row r="59" spans="1:7" x14ac:dyDescent="0.3">
      <c r="A59" s="75" t="s">
        <v>134</v>
      </c>
      <c r="B59" s="75" t="s">
        <v>135</v>
      </c>
      <c r="C59" s="75">
        <v>5</v>
      </c>
      <c r="D59" s="75" t="s">
        <v>121</v>
      </c>
      <c r="E59" s="75">
        <v>4</v>
      </c>
      <c r="F59" s="75">
        <v>0</v>
      </c>
      <c r="G59" s="75">
        <v>0</v>
      </c>
    </row>
    <row r="60" spans="1:7" x14ac:dyDescent="0.3">
      <c r="A60" s="75" t="s">
        <v>189</v>
      </c>
      <c r="B60" s="75" t="s">
        <v>190</v>
      </c>
      <c r="C60" s="75">
        <v>5</v>
      </c>
      <c r="D60" s="75" t="s">
        <v>180</v>
      </c>
      <c r="E60" s="75">
        <v>4</v>
      </c>
      <c r="F60" s="75">
        <v>0</v>
      </c>
      <c r="G60" s="75">
        <v>0</v>
      </c>
    </row>
    <row r="61" spans="1:7" x14ac:dyDescent="0.3">
      <c r="A61" s="75" t="s">
        <v>229</v>
      </c>
      <c r="B61" s="75" t="s">
        <v>230</v>
      </c>
      <c r="C61" s="75">
        <v>5</v>
      </c>
      <c r="D61" s="75" t="s">
        <v>219</v>
      </c>
      <c r="E61" s="75">
        <v>4</v>
      </c>
      <c r="F61" s="75">
        <v>0</v>
      </c>
      <c r="G61" s="75">
        <v>0</v>
      </c>
    </row>
    <row r="62" spans="1:7" x14ac:dyDescent="0.3">
      <c r="A62" s="75" t="s">
        <v>231</v>
      </c>
      <c r="B62" s="75" t="s">
        <v>232</v>
      </c>
      <c r="C62" s="75">
        <v>5</v>
      </c>
      <c r="D62" s="75" t="s">
        <v>219</v>
      </c>
      <c r="E62" s="75">
        <v>4</v>
      </c>
      <c r="F62" s="75">
        <v>0</v>
      </c>
      <c r="G62" s="75">
        <v>0</v>
      </c>
    </row>
    <row r="63" spans="1:7" x14ac:dyDescent="0.3">
      <c r="A63" s="75" t="s">
        <v>136</v>
      </c>
      <c r="B63" s="75" t="s">
        <v>137</v>
      </c>
      <c r="C63" s="75">
        <v>6</v>
      </c>
      <c r="D63" s="75" t="s">
        <v>121</v>
      </c>
      <c r="E63" s="75">
        <v>4</v>
      </c>
      <c r="F63" s="75">
        <v>0</v>
      </c>
      <c r="G63" s="75">
        <v>0</v>
      </c>
    </row>
    <row r="64" spans="1:7" x14ac:dyDescent="0.3">
      <c r="A64" s="75" t="s">
        <v>157</v>
      </c>
      <c r="B64" s="75" t="s">
        <v>158</v>
      </c>
      <c r="C64" s="75">
        <v>6</v>
      </c>
      <c r="D64" s="75" t="s">
        <v>141</v>
      </c>
      <c r="E64" s="75">
        <v>4</v>
      </c>
      <c r="F64" s="75">
        <v>0</v>
      </c>
      <c r="G64" s="75">
        <v>0</v>
      </c>
    </row>
    <row r="65" spans="1:7" x14ac:dyDescent="0.3">
      <c r="A65" s="75" t="s">
        <v>191</v>
      </c>
      <c r="B65" s="75" t="s">
        <v>192</v>
      </c>
      <c r="C65" s="75">
        <v>6</v>
      </c>
      <c r="D65" s="75" t="s">
        <v>180</v>
      </c>
      <c r="E65" s="75">
        <v>4</v>
      </c>
      <c r="F65" s="75">
        <v>0</v>
      </c>
      <c r="G65" s="75">
        <v>0</v>
      </c>
    </row>
    <row r="66" spans="1:7" x14ac:dyDescent="0.3">
      <c r="A66" s="75" t="s">
        <v>193</v>
      </c>
      <c r="B66" s="75" t="s">
        <v>194</v>
      </c>
      <c r="C66" s="75">
        <v>6</v>
      </c>
      <c r="D66" s="75" t="s">
        <v>180</v>
      </c>
      <c r="E66" s="75">
        <v>4</v>
      </c>
      <c r="F66" s="75">
        <v>0</v>
      </c>
      <c r="G66" s="75">
        <v>0</v>
      </c>
    </row>
    <row r="67" spans="1:7" x14ac:dyDescent="0.3">
      <c r="A67" s="75" t="s">
        <v>211</v>
      </c>
      <c r="B67" s="75" t="s">
        <v>212</v>
      </c>
      <c r="C67" s="75">
        <v>6</v>
      </c>
      <c r="D67" s="75" t="s">
        <v>201</v>
      </c>
      <c r="E67" s="75">
        <v>4</v>
      </c>
      <c r="F67" s="75">
        <v>0</v>
      </c>
      <c r="G67" s="75">
        <v>0</v>
      </c>
    </row>
    <row r="68" spans="1:7" x14ac:dyDescent="0.3">
      <c r="A68" s="75" t="s">
        <v>202</v>
      </c>
      <c r="B68" s="75" t="s">
        <v>213</v>
      </c>
      <c r="C68" s="75">
        <v>6</v>
      </c>
      <c r="D68" s="75" t="s">
        <v>201</v>
      </c>
      <c r="E68" s="75">
        <v>4</v>
      </c>
      <c r="F68" s="75">
        <v>0</v>
      </c>
      <c r="G68" s="75">
        <v>0</v>
      </c>
    </row>
    <row r="69" spans="1:7" x14ac:dyDescent="0.3">
      <c r="A69" s="75" t="s">
        <v>233</v>
      </c>
      <c r="B69" s="75" t="s">
        <v>234</v>
      </c>
      <c r="C69" s="75">
        <v>6</v>
      </c>
      <c r="D69" s="75" t="s">
        <v>219</v>
      </c>
      <c r="E69" s="75">
        <v>4</v>
      </c>
      <c r="F69" s="75">
        <v>0</v>
      </c>
      <c r="G69" s="75">
        <v>0</v>
      </c>
    </row>
    <row r="70" spans="1:7" x14ac:dyDescent="0.3">
      <c r="A70" s="75" t="s">
        <v>115</v>
      </c>
      <c r="B70" s="75" t="s">
        <v>116</v>
      </c>
      <c r="C70" s="75">
        <v>7</v>
      </c>
      <c r="D70" s="75" t="s">
        <v>100</v>
      </c>
      <c r="E70" s="75">
        <v>4</v>
      </c>
      <c r="F70" s="75">
        <v>0</v>
      </c>
      <c r="G70" s="75">
        <v>0</v>
      </c>
    </row>
    <row r="71" spans="1:7" x14ac:dyDescent="0.3">
      <c r="A71" s="75" t="s">
        <v>250</v>
      </c>
      <c r="B71" s="75" t="s">
        <v>251</v>
      </c>
      <c r="C71" s="75">
        <v>7</v>
      </c>
      <c r="D71" s="75" t="s">
        <v>239</v>
      </c>
      <c r="E71" s="75">
        <v>4</v>
      </c>
      <c r="F71" s="75">
        <v>0</v>
      </c>
      <c r="G71" s="75">
        <v>0</v>
      </c>
    </row>
    <row r="72" spans="1:7" x14ac:dyDescent="0.3">
      <c r="A72" s="75" t="s">
        <v>252</v>
      </c>
      <c r="B72" s="75" t="s">
        <v>253</v>
      </c>
      <c r="C72" s="75">
        <v>7</v>
      </c>
      <c r="D72" s="75" t="s">
        <v>239</v>
      </c>
      <c r="E72" s="75">
        <v>4</v>
      </c>
      <c r="F72" s="75">
        <v>0</v>
      </c>
      <c r="G72" s="75">
        <v>0</v>
      </c>
    </row>
    <row r="73" spans="1:7" x14ac:dyDescent="0.3">
      <c r="A73" s="75" t="s">
        <v>117</v>
      </c>
      <c r="B73" s="75" t="s">
        <v>118</v>
      </c>
      <c r="C73" s="75">
        <v>8</v>
      </c>
      <c r="D73" s="75" t="s">
        <v>100</v>
      </c>
      <c r="E73" s="75">
        <v>4</v>
      </c>
      <c r="F73" s="75">
        <v>0</v>
      </c>
      <c r="G73" s="75">
        <v>0</v>
      </c>
    </row>
    <row r="74" spans="1:7" x14ac:dyDescent="0.3">
      <c r="A74" s="75" t="s">
        <v>138</v>
      </c>
      <c r="B74" s="75" t="s">
        <v>102</v>
      </c>
      <c r="C74" s="75">
        <v>8</v>
      </c>
      <c r="D74" s="75" t="s">
        <v>121</v>
      </c>
      <c r="E74" s="75">
        <v>4</v>
      </c>
      <c r="F74" s="75">
        <v>0</v>
      </c>
      <c r="G74" s="75">
        <v>0</v>
      </c>
    </row>
    <row r="75" spans="1:7" x14ac:dyDescent="0.3">
      <c r="A75" s="75" t="s">
        <v>174</v>
      </c>
      <c r="B75" s="75" t="s">
        <v>175</v>
      </c>
      <c r="C75" s="75">
        <v>8</v>
      </c>
      <c r="D75" s="75" t="s">
        <v>161</v>
      </c>
      <c r="E75" s="75">
        <v>4</v>
      </c>
      <c r="F75" s="75">
        <v>0</v>
      </c>
      <c r="G75" s="75">
        <v>0</v>
      </c>
    </row>
    <row r="76" spans="1:7" x14ac:dyDescent="0.3">
      <c r="A76" s="75" t="s">
        <v>176</v>
      </c>
      <c r="B76" s="75" t="s">
        <v>177</v>
      </c>
      <c r="C76" s="75">
        <v>8</v>
      </c>
      <c r="D76" s="75" t="s">
        <v>161</v>
      </c>
      <c r="E76" s="75">
        <v>4</v>
      </c>
      <c r="F76" s="75">
        <v>0</v>
      </c>
      <c r="G76" s="75">
        <v>0</v>
      </c>
    </row>
    <row r="77" spans="1:7" x14ac:dyDescent="0.3">
      <c r="A77" s="75" t="s">
        <v>235</v>
      </c>
      <c r="B77" s="75" t="s">
        <v>236</v>
      </c>
      <c r="C77" s="75">
        <v>8</v>
      </c>
      <c r="D77" s="75" t="s">
        <v>219</v>
      </c>
      <c r="E77" s="75">
        <v>4</v>
      </c>
      <c r="F77" s="75">
        <v>0</v>
      </c>
      <c r="G77" s="75">
        <v>0</v>
      </c>
    </row>
    <row r="78" spans="1:7" x14ac:dyDescent="0.3">
      <c r="A78" s="75" t="s">
        <v>195</v>
      </c>
      <c r="B78" s="75" t="s">
        <v>196</v>
      </c>
      <c r="C78" s="75">
        <v>9</v>
      </c>
      <c r="D78" s="75" t="s">
        <v>180</v>
      </c>
      <c r="E78" s="75">
        <v>4</v>
      </c>
      <c r="F78" s="75">
        <v>0</v>
      </c>
      <c r="G78" s="75">
        <v>0</v>
      </c>
    </row>
    <row r="79" spans="1:7" x14ac:dyDescent="0.3">
      <c r="A79" s="75" t="s">
        <v>197</v>
      </c>
      <c r="B79" s="75" t="s">
        <v>198</v>
      </c>
      <c r="C79" s="75">
        <v>11</v>
      </c>
      <c r="D79" s="75" t="s">
        <v>180</v>
      </c>
      <c r="E79" s="75">
        <v>4</v>
      </c>
      <c r="F79" s="75">
        <v>0</v>
      </c>
      <c r="G79" s="75">
        <v>0</v>
      </c>
    </row>
    <row r="80" spans="1:7" x14ac:dyDescent="0.3">
      <c r="A80" s="75" t="s">
        <v>102</v>
      </c>
      <c r="B80" s="75" t="s">
        <v>214</v>
      </c>
      <c r="C80" s="75">
        <v>11</v>
      </c>
      <c r="D80" s="75" t="s">
        <v>201</v>
      </c>
      <c r="E80" s="75">
        <v>4</v>
      </c>
      <c r="F80" s="75">
        <v>0</v>
      </c>
      <c r="G80" s="75">
        <v>0</v>
      </c>
    </row>
    <row r="81" spans="1:7" x14ac:dyDescent="0.3">
      <c r="A81" s="74" t="s">
        <v>215</v>
      </c>
      <c r="B81" s="74" t="s">
        <v>216</v>
      </c>
      <c r="C81" s="74">
        <v>12</v>
      </c>
      <c r="D81" s="74" t="s">
        <v>201</v>
      </c>
      <c r="E81" s="74">
        <v>4</v>
      </c>
      <c r="F81" s="74">
        <v>0</v>
      </c>
      <c r="G81" s="74">
        <v>0</v>
      </c>
    </row>
  </sheetData>
  <autoFilter ref="A1:G1" xr:uid="{EBAE1788-CD4E-4D88-AAE2-40D64D632CEA}">
    <sortState xmlns:xlrd2="http://schemas.microsoft.com/office/spreadsheetml/2017/richdata2" ref="A2:G81">
      <sortCondition ref="C2:C81"/>
    </sortState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Data Entry</vt:lpstr>
      <vt:lpstr>Commons</vt:lpstr>
      <vt:lpstr>Kitchen</vt:lpstr>
      <vt:lpstr>Bathroom</vt:lpstr>
      <vt:lpstr>Analysis</vt:lpstr>
      <vt:lpstr>Kitchen!Print_Area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House Manager</dc:creator>
  <cp:keywords/>
  <dc:description/>
  <cp:lastModifiedBy>Isaac Paley</cp:lastModifiedBy>
  <cp:revision/>
  <cp:lastPrinted>2020-11-12T03:57:00Z</cp:lastPrinted>
  <dcterms:created xsi:type="dcterms:W3CDTF">2020-09-06T18:57:57Z</dcterms:created>
  <dcterms:modified xsi:type="dcterms:W3CDTF">2020-11-16T21:51:05Z</dcterms:modified>
  <cp:category/>
  <cp:contentStatus/>
</cp:coreProperties>
</file>